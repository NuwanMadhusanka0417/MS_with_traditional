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latrobeuni-my.sharepoint.com/personal/22390013_students_ltu_edu_au/Documents/Projects/Molecular_Solubility/Molecular_solubility_traditional/Results/"/>
    </mc:Choice>
  </mc:AlternateContent>
  <xr:revisionPtr revIDLastSave="197" documentId="13_ncr:1_{D865690D-A916-4B50-AFA5-866BC8A56084}" xr6:coauthVersionLast="47" xr6:coauthVersionMax="47" xr10:uidLastSave="{84CE4A10-58B2-4729-A437-A07A91616A06}"/>
  <bookViews>
    <workbookView xWindow="15270" yWindow="-18240" windowWidth="29040" windowHeight="17520" activeTab="4" xr2:uid="{00000000-000D-0000-FFFF-FFFF00000000}"/>
  </bookViews>
  <sheets>
    <sheet name="Sheet1" sheetId="1" r:id="rId1"/>
    <sheet name="GEO+ATOM" sheetId="2" r:id="rId2"/>
    <sheet name="GVFA+edge" sheetId="3" r:id="rId3"/>
    <sheet name="Sheet2" sheetId="4" r:id="rId4"/>
    <sheet name="Teufel resul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0" i="5" l="1"/>
  <c r="AA30" i="5"/>
  <c r="Z30" i="5"/>
  <c r="AB96" i="5"/>
  <c r="AA96" i="5"/>
  <c r="Z96" i="5"/>
  <c r="V96" i="5"/>
  <c r="U96" i="5"/>
  <c r="T96" i="5"/>
  <c r="P96" i="5"/>
  <c r="O96" i="5"/>
  <c r="N96" i="5"/>
  <c r="AB74" i="5"/>
  <c r="AA74" i="5"/>
  <c r="Z74" i="5"/>
  <c r="V74" i="5"/>
  <c r="U74" i="5"/>
  <c r="T74" i="5"/>
  <c r="P74" i="5"/>
  <c r="O74" i="5"/>
  <c r="N74" i="5"/>
  <c r="AB52" i="5"/>
  <c r="AA52" i="5"/>
  <c r="Z52" i="5"/>
  <c r="V52" i="5"/>
  <c r="U52" i="5"/>
  <c r="T52" i="5"/>
  <c r="P52" i="5"/>
  <c r="O52" i="5"/>
  <c r="N52" i="5"/>
  <c r="P30" i="5"/>
  <c r="O30" i="5"/>
  <c r="N30" i="5"/>
  <c r="V30" i="5"/>
  <c r="U30" i="5"/>
  <c r="T30" i="5"/>
  <c r="AB10" i="5"/>
  <c r="AA10" i="5"/>
  <c r="Z10" i="5"/>
  <c r="V10" i="5"/>
  <c r="U10" i="5"/>
  <c r="T10" i="5"/>
  <c r="P10" i="5"/>
  <c r="O10" i="5"/>
  <c r="N10" i="5"/>
</calcChain>
</file>

<file path=xl/sharedStrings.xml><?xml version="1.0" encoding="utf-8"?>
<sst xmlns="http://schemas.openxmlformats.org/spreadsheetml/2006/main" count="316" uniqueCount="127">
  <si>
    <t>Concatinate</t>
  </si>
  <si>
    <t>Superposition - Seed 42</t>
  </si>
  <si>
    <t>Superposition - Seed 0</t>
  </si>
  <si>
    <t>XGB_298 concatinate GVFA(100</t>
  </si>
  <si>
    <t>XGB_298 concatinate GVFA(500</t>
  </si>
  <si>
    <t>XGB_298 concatinate GVFA(1000</t>
  </si>
  <si>
    <t>XGB_298 concatinate GVFA(2000</t>
  </si>
  <si>
    <t>XGB_298 concatinate GVFA(5000</t>
  </si>
  <si>
    <t>XGB_298 concatinate GVFA(10000</t>
  </si>
  <si>
    <t>XGB_298 superposition GVFA(100</t>
  </si>
  <si>
    <t>XGB_298 superposition GVFA(500</t>
  </si>
  <si>
    <t>XGB_298 superposition GVFA(1000</t>
  </si>
  <si>
    <t>XGB_298 superposition GVFA(2000</t>
  </si>
  <si>
    <t>XGB_298 superposition GVFA(5000</t>
  </si>
  <si>
    <t>XGB_298 superposition GVFA(10000</t>
  </si>
  <si>
    <t>MAE</t>
  </si>
  <si>
    <t>MSE</t>
  </si>
  <si>
    <t>RMSE</t>
  </si>
  <si>
    <t>R2</t>
  </si>
  <si>
    <t>standardization all features before concatination</t>
  </si>
  <si>
    <t>GVFA feature size - 100, 500, 1000, 2000, 5000, 10000</t>
  </si>
  <si>
    <t>Traditional feature size = 298</t>
  </si>
  <si>
    <t>Convert traditional feature set inton torch and do the cobcatination</t>
  </si>
  <si>
    <t>Here we concatinate 298 features with HV from GVFA. before concatination, we apply PCA for GVFA feature set to reduce dimention to 100</t>
  </si>
  <si>
    <t>atom-bond</t>
  </si>
  <si>
    <t>Bond-angle</t>
  </si>
  <si>
    <t>Both features concatinated</t>
  </si>
  <si>
    <t>bond-angle</t>
  </si>
  <si>
    <t>atom-bond+tradition</t>
  </si>
  <si>
    <t>atom-bond+atom-angle</t>
  </si>
  <si>
    <t>atom-bond+atom-angle+tradition</t>
  </si>
  <si>
    <t>Dimention</t>
  </si>
  <si>
    <t>Dimension</t>
  </si>
  <si>
    <r>
      <t>•</t>
    </r>
    <r>
      <rPr>
        <sz val="12"/>
        <color rgb="FF000000"/>
        <rFont val="Aptos"/>
        <family val="2"/>
      </rPr>
      <t>Dimention,100,</t>
    </r>
  </si>
  <si>
    <r>
      <t>•</t>
    </r>
    <r>
      <rPr>
        <sz val="12"/>
        <color rgb="FF000000"/>
        <rFont val="Aptos"/>
        <family val="2"/>
      </rPr>
      <t>Dimention,500,</t>
    </r>
  </si>
  <si>
    <r>
      <t>•</t>
    </r>
    <r>
      <rPr>
        <sz val="12"/>
        <color rgb="FF000000"/>
        <rFont val="Aptos"/>
        <family val="2"/>
      </rPr>
      <t>Dimention,1000,</t>
    </r>
  </si>
  <si>
    <r>
      <t>•</t>
    </r>
    <r>
      <rPr>
        <sz val="12"/>
        <color rgb="FF000000"/>
        <rFont val="Aptos"/>
        <family val="2"/>
      </rPr>
      <t>Dimention,5000,</t>
    </r>
  </si>
  <si>
    <t>Ridge      dim=100 seed=0  MAE=1.1084  RMSE=1.4202  R2=0.5164  [mem] 0.21 GB</t>
  </si>
  <si>
    <t>SVR        dim=100 seed=0  MAE=0.9973  RMSE=1.3097  R2=0.5887  [mem] 0.21 GB</t>
  </si>
  <si>
    <t>XGBoost    dim=100 seed=0  MAE=0.9386  RMSE=1.2083  R2=0.6500  [mem] 0.22 GB</t>
  </si>
  <si>
    <t>Ridge      dim=100 seed=1  MAE=1.1242  RMSE=1.4201  R2=0.5165  [mem] 0.20 GB</t>
  </si>
  <si>
    <t>SVR        dim=100 seed=1  MAE=0.9270  RMSE=1.1989  R2=0.6554  [mem] 0.19 GB</t>
  </si>
  <si>
    <t>XGBoost    dim=100 seed=1  MAE=0.9412  RMSE=1.2133  R2=0.6470  [mem] 0.23 GB</t>
  </si>
  <si>
    <t>Ridge      dim=100 seed=2  MAE=1.1192  RMSE=1.4163  R2=0.5190  [mem] 0.23 GB</t>
  </si>
  <si>
    <t>SVR        dim=100 seed=2  MAE=0.9816  RMSE=1.2668  R2=0.6153  [mem] 0.20 GB</t>
  </si>
  <si>
    <t>XGBoost    dim=100 seed=2  MAE=0.8735  RMSE=1.1199  R2=0.6993  [mem] 0.23 GB</t>
  </si>
  <si>
    <t>Ridge      dim=100 seed=3  MAE=1.0650  RMSE=1.3425  R2=0.5679  [mem] 0.24 GB</t>
  </si>
  <si>
    <t>SVR        dim=100 seed=3  MAE=0.9605  RMSE=1.2217  R2=0.6421  [mem] 0.21 GB</t>
  </si>
  <si>
    <t>XGBoost    dim=100 seed=3  MAE=0.9379  RMSE=1.2100  R2=0.6490  [mem] 0.23 GB</t>
  </si>
  <si>
    <t>Ridge      dim=100 seed=4  MAE=1.0772  RMSE=1.3565  R2=0.5588  [mem] 0.24 GB</t>
  </si>
  <si>
    <t>SVR        dim=100 seed=4  MAE=0.9434  RMSE=1.2198  R2=0.6433  [mem] 0.20 GB</t>
  </si>
  <si>
    <t>XGBoost    dim=100 seed=4  MAE=0.9167  RMSE=1.1777  R2=0.6674  [mem] 0.23 GB</t>
  </si>
  <si>
    <t>Ridge      dim=500 seed=0  MAE=0.8535  RMSE=1.1014  R2=0.7091  [mem] 0.30 GB</t>
  </si>
  <si>
    <t>SVR        dim=500 seed=0  MAE=0.8567  RMSE=1.0965  R2=0.7117  [mem] 0.36 GB</t>
  </si>
  <si>
    <t>XGBoost    dim=500 seed=0  MAE=0.8275  RMSE=1.0619  R2=0.7296  [mem] 0.32 GB</t>
  </si>
  <si>
    <t>Ridge      dim=500 seed=1  MAE=0.8847  RMSE=1.1362  R2=0.6905  [mem] 0.26 GB</t>
  </si>
  <si>
    <t>SVR        dim=500 seed=1  MAE=0.8972  RMSE=1.1504  R2=0.6827  [mem] 0.32 GB</t>
  </si>
  <si>
    <t>XGBoost    dim=500 seed=1  MAE=0.8597  RMSE=1.1017  R2=0.7090  [mem] 0.32 GB</t>
  </si>
  <si>
    <t>Ridge      dim=500 seed=2  MAE=0.9062  RMSE=1.1500  R2=0.6829  [mem] 0.26 GB</t>
  </si>
  <si>
    <t>SVR        dim=500 seed=2  MAE=0.8654  RMSE=1.1171  R2=0.7008  [mem] 0.30 GB</t>
  </si>
  <si>
    <t>XGBoost    dim=500 seed=2  MAE=0.8524  RMSE=1.0757  R2=0.7226  [mem] 0.30 GB</t>
  </si>
  <si>
    <t>Ridge      dim=500 seed=3  MAE=0.8713  RMSE=1.1125  R2=0.7033  [mem] 0.27 GB</t>
  </si>
  <si>
    <t>SVR        dim=500 seed=3  MAE=0.8832  RMSE=1.1374  R2=0.6898  [mem] 0.31 GB</t>
  </si>
  <si>
    <t>XGBoost    dim=500 seed=3  MAE=0.8656  RMSE=1.1014  R2=0.7091  [mem] 0.31 GB</t>
  </si>
  <si>
    <t>Ridge      dim=500 seed=4  MAE=0.8324  RMSE=1.1029  R2=0.7084  [mem] 0.27 GB</t>
  </si>
  <si>
    <t>SVR        dim=500 seed=4  MAE=0.8801  RMSE=1.1265  R2=0.6957  [mem] 0.31 GB</t>
  </si>
  <si>
    <t>XGBoost    dim=500 seed=4  MAE=0.8618  RMSE=1.0961  R2=0.7119  [mem] 0.31 GB</t>
  </si>
  <si>
    <t>Ridge      dim=1000 seed=0  MAE=0.8441  RMSE=1.0763  R2=0.7223  [mem] 0.37 GB</t>
  </si>
  <si>
    <t>SVR        dim=1000 seed=0  MAE=0.8220  RMSE=1.0570  R2=0.7321  [mem] 0.45 GB</t>
  </si>
  <si>
    <t>XGBoost    dim=1000 seed=0  MAE=0.7849  RMSE=1.0021  R2=0.7592  [mem] 0.45 GB</t>
  </si>
  <si>
    <t>Ridge      dim=1000 seed=1  MAE=0.8267  RMSE=1.0546  R2=0.7333  [mem] 0.36 GB</t>
  </si>
  <si>
    <t>SVR        dim=1000 seed=1  MAE=0.8366  RMSE=1.0621  R2=0.7295  [mem] 0.44 GB</t>
  </si>
  <si>
    <t>XGBoost    dim=1000 seed=1  MAE=0.8429  RMSE=1.0621  R2=0.7295  [mem] 0.45 GB</t>
  </si>
  <si>
    <t>Ridge      dim=1000 seed=2  MAE=0.8168  RMSE=1.0424  R2=0.7395  [mem] 0.36 GB</t>
  </si>
  <si>
    <t>SVR        dim=1000 seed=2  MAE=0.8003  RMSE=1.0350  R2=0.7432  [mem] 0.44 GB</t>
  </si>
  <si>
    <t>XGBoost    dim=1000 seed=2  MAE=0.8385  RMSE=1.0616  R2=0.7298  [mem] 0.45 GB</t>
  </si>
  <si>
    <t>Ridge      dim=1000 seed=3  MAE=0.8217  RMSE=1.0667  R2=0.7272  [mem] 0.36 GB</t>
  </si>
  <si>
    <t>SVR        dim=1000 seed=3  MAE=0.8116  RMSE=1.0411  R2=0.7401  [mem] 0.44 GB</t>
  </si>
  <si>
    <t>XGBoost    dim=1000 seed=3  MAE=0.8187  RMSE=1.0411  R2=0.7401  [mem] 0.45 GB</t>
  </si>
  <si>
    <t>Ridge      dim=1000 seed=4  MAE=0.8269  RMSE=1.0808  R2=0.7199  [mem] 0.36 GB</t>
  </si>
  <si>
    <t>SVR        dim=1000 seed=4  MAE=0.8308  RMSE=1.0613  R2=0.7299  [mem] 0.45 GB</t>
  </si>
  <si>
    <t>XGBoost    dim=1000 seed=4  MAE=0.8192  RMSE=1.0480  R2=0.7367  [mem] 0.45 GB</t>
  </si>
  <si>
    <t>Ridge      dim=2000 seed=0  MAE=0.8024  RMSE=1.0514  R2=0.7349  [mem] 0.33 GB</t>
  </si>
  <si>
    <t>SVR        dim=2000 seed=0  MAE=1.0420  RMSE=1.3345  R2=0.5730  [mem] 0.61 GB</t>
  </si>
  <si>
    <t>XGBoost    dim=2000 seed=0  MAE=0.8473  RMSE=1.0841  R2=0.7182  [mem] 0.63 GB</t>
  </si>
  <si>
    <t>Ridge      dim=2000 seed=1  MAE=0.7845  RMSE=1.0382  R2=0.7416  [mem] 0.36 GB</t>
  </si>
  <si>
    <t>SVR        dim=2000 seed=1  MAE=0.8116  RMSE=1.0658  R2=0.7277  [mem] 0.63 GB</t>
  </si>
  <si>
    <t>XGBoost    dim=2000 seed=1  MAE=0.7935  RMSE=1.0072  R2=0.7568  [mem] 0.65 GB</t>
  </si>
  <si>
    <t>Ridge      dim=2000 seed=2  MAE=0.7880  RMSE=1.0215  R2=0.7498  [mem] 0.34 GB</t>
  </si>
  <si>
    <t>SVR        dim=2000 seed=2  MAE=0.7960  RMSE=1.0249  R2=0.7482  [mem] 0.67 GB</t>
  </si>
  <si>
    <t>XGBoost    dim=2000 seed=2  MAE=0.8112  RMSE=1.0261  R2=0.7476  [mem] 0.68 GB</t>
  </si>
  <si>
    <t>Ridge      dim=2000 seed=3  MAE=0.7878  RMSE=1.0454  R2=0.7380  [mem] 0.34 GB</t>
  </si>
  <si>
    <t>SVR        dim=2000 seed=3  MAE=0.7824  RMSE=1.0181  R2=0.7515  [mem] 0.61 GB</t>
  </si>
  <si>
    <t>XGBoost    dim=2000 seed=3  MAE=0.7744  RMSE=0.9988  R2=0.7608  [mem] 0.62 GB</t>
  </si>
  <si>
    <t>Ridge      dim=2000 seed=4  MAE=0.8097  RMSE=1.0756  R2=0.7226  [mem] 0.49 GB</t>
  </si>
  <si>
    <t>SVR        dim=2000 seed=4  MAE=0.8151  RMSE=1.0544  R2=0.7334  [mem] 0.74 GB</t>
  </si>
  <si>
    <t>XGBoost    dim=2000 seed=4  MAE=0.8132  RMSE=1.0417  R2=0.7398  [mem] 0.75 GB</t>
  </si>
  <si>
    <t>Ridge      dim=5000 seed=0  MAE=0.7340  RMSE=1.0071  R2=0.7568  [mem] 0.80 GB</t>
  </si>
  <si>
    <t>SVR        dim=5000 seed=0  MAE=0.7787  RMSE=1.0110  R2=0.7549  [mem] 1.42 GB</t>
  </si>
  <si>
    <t>XGBoost    dim=5000 seed=0  MAE=0.7702  RMSE=0.9816  R2=0.7690  [mem] 1.43 GB</t>
  </si>
  <si>
    <t>Ridge      dim=5000 seed=1  MAE=0.7390  RMSE=0.9713  R2=0.7738  [mem] 0.80 GB</t>
  </si>
  <si>
    <t>SVR        dim=5000 seed=1  MAE=0.7469  RMSE=0.9807  R2=0.7694  [mem] 1.41 GB</t>
  </si>
  <si>
    <t>XGBoost    dim=5000 seed=1  MAE=0.7797  RMSE=1.0038  R2=0.7584  [mem] 1.43 GB</t>
  </si>
  <si>
    <t>Ridge      dim=5000 seed=2  MAE=0.7236  RMSE=0.9392  R2=0.7885  [mem] 0.80 GB</t>
  </si>
  <si>
    <t>SVR        dim=5000 seed=2  MAE=0.7515  RMSE=0.9724  R2=0.7733  [mem] 1.44 GB</t>
  </si>
  <si>
    <t>XGBoost    dim=5000 seed=2  MAE=0.7678  RMSE=0.9801  R2=0.7697  [mem] 1.45 GB</t>
  </si>
  <si>
    <t>dim</t>
  </si>
  <si>
    <t>seed</t>
  </si>
  <si>
    <t>Mean</t>
  </si>
  <si>
    <t>Ridge</t>
  </si>
  <si>
    <t>SVR</t>
  </si>
  <si>
    <t>XGBoost</t>
  </si>
  <si>
    <t>1.099 ± 0.03</t>
  </si>
  <si>
    <t>1.391 ± 0.04</t>
  </si>
  <si>
    <t>0.536 ± 0.03</t>
  </si>
  <si>
    <t>0.87 ± 0.03</t>
  </si>
  <si>
    <t>1.121 ± 0.02</t>
  </si>
  <si>
    <t>0.699 ± 0.01</t>
  </si>
  <si>
    <t>0.827 ± 0.01</t>
  </si>
  <si>
    <t>1.064 ± 0.02</t>
  </si>
  <si>
    <t>0.728 ± 0.01</t>
  </si>
  <si>
    <t>0.794 ± 0.01</t>
  </si>
  <si>
    <t>1.046 ± 0.02</t>
  </si>
  <si>
    <t>0.737 ± 0.01</t>
  </si>
  <si>
    <t>0.732 ± 0.01</t>
  </si>
  <si>
    <t>0.973 ± 0.03</t>
  </si>
  <si>
    <t>0.773 ± 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</si>
</sst>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name val="Consolas"/>
      <family val="3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Calibri"/>
      <family val="2"/>
      <scheme val="minor"/>
    </font>
    <font>
      <sz val="12"/>
      <color theme="1"/>
      <name val="Aptos"/>
      <family val="2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 readingOrder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indent="2" readingOrder="1"/>
    </xf>
    <xf numFmtId="0" fontId="3" fillId="0" borderId="0" xfId="0" applyFont="1" applyAlignment="1">
      <alignment horizontal="left" vertical="center" indent="2" readingOrder="1"/>
    </xf>
    <xf numFmtId="0" fontId="12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164" fontId="14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19" workbookViewId="0">
      <selection activeCell="A29" sqref="A29:E35"/>
    </sheetView>
  </sheetViews>
  <sheetFormatPr defaultRowHeight="15" x14ac:dyDescent="0.25"/>
  <cols>
    <col min="1" max="1" width="36.28515625" customWidth="1"/>
  </cols>
  <sheetData>
    <row r="1" spans="1:5" x14ac:dyDescent="0.25">
      <c r="B1" t="s">
        <v>0</v>
      </c>
    </row>
    <row r="2" spans="1:5" x14ac:dyDescent="0.25">
      <c r="B2" t="s">
        <v>15</v>
      </c>
      <c r="C2" t="s">
        <v>16</v>
      </c>
      <c r="D2" t="s">
        <v>17</v>
      </c>
      <c r="E2" t="s">
        <v>18</v>
      </c>
    </row>
    <row r="3" spans="1:5" x14ac:dyDescent="0.25">
      <c r="A3" s="2" t="s">
        <v>3</v>
      </c>
      <c r="B3">
        <v>0.42359999999999998</v>
      </c>
      <c r="C3">
        <v>0.33400000000000002</v>
      </c>
      <c r="D3">
        <v>0.57789999999999997</v>
      </c>
      <c r="E3">
        <v>0.91990000000000005</v>
      </c>
    </row>
    <row r="4" spans="1:5" x14ac:dyDescent="0.25">
      <c r="A4" s="2" t="s">
        <v>4</v>
      </c>
      <c r="B4">
        <v>0.41849999999999998</v>
      </c>
      <c r="C4">
        <v>0.3281</v>
      </c>
      <c r="D4">
        <v>0.57279999999999998</v>
      </c>
      <c r="E4">
        <v>0.92130000000000001</v>
      </c>
    </row>
    <row r="5" spans="1:5" x14ac:dyDescent="0.25">
      <c r="A5" s="2" t="s">
        <v>5</v>
      </c>
      <c r="B5">
        <v>0.41299999999999998</v>
      </c>
      <c r="C5">
        <v>0.3296</v>
      </c>
      <c r="D5">
        <v>0.57410000000000005</v>
      </c>
      <c r="E5">
        <v>0.92100000000000004</v>
      </c>
    </row>
    <row r="6" spans="1:5" x14ac:dyDescent="0.25">
      <c r="A6" s="2" t="s">
        <v>6</v>
      </c>
      <c r="B6">
        <v>0.41349999999999998</v>
      </c>
      <c r="C6">
        <v>0.32779999999999998</v>
      </c>
      <c r="D6">
        <v>0.57250000000000001</v>
      </c>
      <c r="E6">
        <v>0.9214</v>
      </c>
    </row>
    <row r="7" spans="1:5" x14ac:dyDescent="0.25">
      <c r="A7" s="2" t="s">
        <v>7</v>
      </c>
      <c r="B7">
        <v>0.41760000000000003</v>
      </c>
      <c r="C7">
        <v>0.33700000000000002</v>
      </c>
      <c r="D7">
        <v>0.58050000000000002</v>
      </c>
      <c r="E7">
        <v>0.91920000000000002</v>
      </c>
    </row>
    <row r="8" spans="1:5" x14ac:dyDescent="0.25">
      <c r="A8" s="2" t="s">
        <v>8</v>
      </c>
      <c r="B8">
        <v>0.4128</v>
      </c>
      <c r="C8">
        <v>0.33479999999999999</v>
      </c>
      <c r="D8">
        <v>0.5786</v>
      </c>
      <c r="E8">
        <v>0.91969999999999996</v>
      </c>
    </row>
    <row r="9" spans="1:5" x14ac:dyDescent="0.25">
      <c r="A9" s="1"/>
    </row>
    <row r="10" spans="1:5" x14ac:dyDescent="0.25">
      <c r="B10" t="s">
        <v>1</v>
      </c>
    </row>
    <row r="11" spans="1:5" x14ac:dyDescent="0.25">
      <c r="B11" t="s">
        <v>15</v>
      </c>
      <c r="C11" t="s">
        <v>16</v>
      </c>
      <c r="D11" t="s">
        <v>17</v>
      </c>
      <c r="E11" t="s">
        <v>18</v>
      </c>
    </row>
    <row r="12" spans="1:5" x14ac:dyDescent="0.25">
      <c r="A12" s="2" t="s">
        <v>9</v>
      </c>
      <c r="B12">
        <v>0.65259999999999996</v>
      </c>
      <c r="C12">
        <v>0.72519999999999996</v>
      </c>
      <c r="D12">
        <v>0.85160000000000002</v>
      </c>
      <c r="E12">
        <v>0.82609999999999995</v>
      </c>
    </row>
    <row r="13" spans="1:5" x14ac:dyDescent="0.25">
      <c r="A13" s="2" t="s">
        <v>10</v>
      </c>
      <c r="B13">
        <v>0.51500000000000001</v>
      </c>
      <c r="C13">
        <v>0.47499999999999998</v>
      </c>
      <c r="D13">
        <v>0.68920000000000003</v>
      </c>
      <c r="E13">
        <v>0.8861</v>
      </c>
    </row>
    <row r="14" spans="1:5" x14ac:dyDescent="0.25">
      <c r="A14" s="2" t="s">
        <v>11</v>
      </c>
      <c r="B14">
        <v>0.54759999999999998</v>
      </c>
      <c r="C14">
        <v>0.54079999999999995</v>
      </c>
      <c r="D14">
        <v>0.73540000000000005</v>
      </c>
      <c r="E14">
        <v>0.87029999999999996</v>
      </c>
    </row>
    <row r="15" spans="1:5" x14ac:dyDescent="0.25">
      <c r="A15" s="2" t="s">
        <v>12</v>
      </c>
      <c r="B15">
        <v>0.52659999999999996</v>
      </c>
      <c r="C15">
        <v>0.50509999999999999</v>
      </c>
      <c r="D15">
        <v>0.7107</v>
      </c>
      <c r="E15">
        <v>0.87890000000000001</v>
      </c>
    </row>
    <row r="16" spans="1:5" x14ac:dyDescent="0.25">
      <c r="A16" s="2" t="s">
        <v>13</v>
      </c>
      <c r="B16">
        <v>0.49919999999999998</v>
      </c>
      <c r="C16">
        <v>0.44979999999999998</v>
      </c>
      <c r="D16">
        <v>0.67059999999999997</v>
      </c>
      <c r="E16">
        <v>0.89219999999999999</v>
      </c>
    </row>
    <row r="17" spans="1:5" x14ac:dyDescent="0.25">
      <c r="A17" s="2" t="s">
        <v>14</v>
      </c>
      <c r="B17">
        <v>0.48520000000000002</v>
      </c>
      <c r="C17">
        <v>0.44240000000000002</v>
      </c>
      <c r="D17">
        <v>0.66510000000000002</v>
      </c>
      <c r="E17">
        <v>0.89390000000000003</v>
      </c>
    </row>
    <row r="18" spans="1:5" x14ac:dyDescent="0.25">
      <c r="A18" s="1"/>
    </row>
    <row r="19" spans="1:5" x14ac:dyDescent="0.25">
      <c r="B19" t="s">
        <v>2</v>
      </c>
    </row>
    <row r="20" spans="1:5" x14ac:dyDescent="0.25">
      <c r="B20" t="s">
        <v>15</v>
      </c>
      <c r="C20" t="s">
        <v>16</v>
      </c>
      <c r="D20" t="s">
        <v>17</v>
      </c>
      <c r="E20" t="s">
        <v>18</v>
      </c>
    </row>
    <row r="21" spans="1:5" x14ac:dyDescent="0.25">
      <c r="A21" s="2" t="s">
        <v>9</v>
      </c>
      <c r="B21">
        <v>0.67800000000000005</v>
      </c>
      <c r="C21">
        <v>0.78469999999999995</v>
      </c>
      <c r="D21">
        <v>0.88580000000000003</v>
      </c>
      <c r="E21">
        <v>0.81189999999999996</v>
      </c>
    </row>
    <row r="22" spans="1:5" x14ac:dyDescent="0.25">
      <c r="A22" s="2" t="s">
        <v>10</v>
      </c>
      <c r="B22">
        <v>0.52869999999999995</v>
      </c>
      <c r="C22">
        <v>0.50270000000000004</v>
      </c>
      <c r="D22">
        <v>0.70899999999999996</v>
      </c>
      <c r="E22">
        <v>0.87949999999999995</v>
      </c>
    </row>
    <row r="23" spans="1:5" x14ac:dyDescent="0.25">
      <c r="A23" s="2" t="s">
        <v>11</v>
      </c>
      <c r="B23">
        <v>0.55349999999999999</v>
      </c>
      <c r="C23">
        <v>0.57540000000000002</v>
      </c>
      <c r="D23">
        <v>0.75849999999999995</v>
      </c>
      <c r="E23">
        <v>0.86199999999999999</v>
      </c>
    </row>
    <row r="24" spans="1:5" x14ac:dyDescent="0.25">
      <c r="A24" s="2" t="s">
        <v>12</v>
      </c>
      <c r="B24">
        <v>0.52929999999999999</v>
      </c>
      <c r="C24">
        <v>0.50819999999999999</v>
      </c>
      <c r="D24">
        <v>0.71289999999999998</v>
      </c>
      <c r="E24">
        <v>0.87819999999999998</v>
      </c>
    </row>
    <row r="25" spans="1:5" x14ac:dyDescent="0.25">
      <c r="A25" s="2" t="s">
        <v>13</v>
      </c>
      <c r="B25">
        <v>0.50690000000000002</v>
      </c>
      <c r="C25">
        <v>0.46150000000000002</v>
      </c>
      <c r="D25">
        <v>0.67930000000000001</v>
      </c>
      <c r="E25">
        <v>0.88939999999999997</v>
      </c>
    </row>
    <row r="26" spans="1:5" x14ac:dyDescent="0.25">
      <c r="A26" s="2" t="s">
        <v>14</v>
      </c>
      <c r="B26">
        <v>0.49540000000000001</v>
      </c>
      <c r="C26">
        <v>0.46239999999999998</v>
      </c>
      <c r="D26">
        <v>0.68</v>
      </c>
      <c r="E26">
        <v>0.8891</v>
      </c>
    </row>
    <row r="28" spans="1:5" x14ac:dyDescent="0.25">
      <c r="B28" t="s">
        <v>19</v>
      </c>
    </row>
    <row r="29" spans="1:5" x14ac:dyDescent="0.25">
      <c r="B29" t="s">
        <v>15</v>
      </c>
      <c r="C29" t="s">
        <v>16</v>
      </c>
      <c r="D29" t="s">
        <v>17</v>
      </c>
      <c r="E29" t="s">
        <v>18</v>
      </c>
    </row>
    <row r="30" spans="1:5" x14ac:dyDescent="0.25">
      <c r="A30" s="1" t="s">
        <v>3</v>
      </c>
      <c r="B30">
        <v>0.4229</v>
      </c>
      <c r="C30">
        <v>0.33210000000000001</v>
      </c>
      <c r="D30">
        <v>0.57630000000000003</v>
      </c>
      <c r="E30">
        <v>0.9204</v>
      </c>
    </row>
    <row r="31" spans="1:5" x14ac:dyDescent="0.25">
      <c r="A31" s="1" t="s">
        <v>4</v>
      </c>
      <c r="B31">
        <v>0.4173</v>
      </c>
      <c r="C31">
        <v>0.32690000000000002</v>
      </c>
      <c r="D31">
        <v>0.57179999999999997</v>
      </c>
      <c r="E31">
        <v>0.92159999999999997</v>
      </c>
    </row>
    <row r="32" spans="1:5" x14ac:dyDescent="0.25">
      <c r="A32" s="1" t="s">
        <v>5</v>
      </c>
      <c r="B32">
        <v>0.4133</v>
      </c>
      <c r="C32">
        <v>0.32629999999999998</v>
      </c>
      <c r="D32">
        <v>0.57120000000000004</v>
      </c>
      <c r="E32">
        <v>0.92179999999999995</v>
      </c>
    </row>
    <row r="33" spans="1:5" x14ac:dyDescent="0.25">
      <c r="A33" s="1" t="s">
        <v>6</v>
      </c>
      <c r="B33">
        <v>0.41699999999999998</v>
      </c>
      <c r="C33">
        <v>0.33139999999999997</v>
      </c>
      <c r="D33">
        <v>0.5756</v>
      </c>
      <c r="E33">
        <v>0.92059999999999997</v>
      </c>
    </row>
    <row r="34" spans="1:5" x14ac:dyDescent="0.25">
      <c r="A34" s="1" t="s">
        <v>7</v>
      </c>
      <c r="B34">
        <v>0.41830000000000001</v>
      </c>
      <c r="C34">
        <v>0.33700000000000002</v>
      </c>
      <c r="D34">
        <v>0.58050000000000002</v>
      </c>
      <c r="E34">
        <v>0.91920000000000002</v>
      </c>
    </row>
    <row r="35" spans="1:5" x14ac:dyDescent="0.25">
      <c r="A35" s="1" t="s">
        <v>8</v>
      </c>
      <c r="B35">
        <v>0.41499999999999998</v>
      </c>
      <c r="C35">
        <v>0.33560000000000001</v>
      </c>
      <c r="D35">
        <v>0.57930000000000004</v>
      </c>
      <c r="E35">
        <v>0.91949999999999998</v>
      </c>
    </row>
    <row r="38" spans="1:5" x14ac:dyDescent="0.25">
      <c r="B38" s="3" t="s">
        <v>20</v>
      </c>
    </row>
    <row r="39" spans="1:5" x14ac:dyDescent="0.25">
      <c r="B39" s="3" t="s">
        <v>21</v>
      </c>
    </row>
    <row r="40" spans="1:5" x14ac:dyDescent="0.25">
      <c r="B40" s="3" t="s">
        <v>22</v>
      </c>
    </row>
    <row r="41" spans="1:5" x14ac:dyDescent="0.25">
      <c r="B41" t="s">
        <v>15</v>
      </c>
      <c r="C41" t="s">
        <v>16</v>
      </c>
      <c r="D41" t="s">
        <v>17</v>
      </c>
      <c r="E41" t="s">
        <v>18</v>
      </c>
    </row>
    <row r="42" spans="1:5" x14ac:dyDescent="0.25">
      <c r="A42" s="1" t="s">
        <v>3</v>
      </c>
      <c r="B42">
        <v>0.54859999999999998</v>
      </c>
      <c r="C42">
        <v>0.53739999999999999</v>
      </c>
      <c r="D42">
        <v>0.73309999999999997</v>
      </c>
      <c r="E42">
        <v>0.87119999999999997</v>
      </c>
    </row>
    <row r="43" spans="1:5" x14ac:dyDescent="0.25">
      <c r="A43" s="1" t="s">
        <v>4</v>
      </c>
      <c r="B43">
        <v>0.48</v>
      </c>
      <c r="C43">
        <v>0.41370000000000001</v>
      </c>
      <c r="D43">
        <v>0.64319999999999999</v>
      </c>
      <c r="E43">
        <v>0.90080000000000005</v>
      </c>
    </row>
    <row r="44" spans="1:5" x14ac:dyDescent="0.25">
      <c r="A44" s="1" t="s">
        <v>5</v>
      </c>
      <c r="B44">
        <v>0.46329999999999999</v>
      </c>
      <c r="C44">
        <v>0.39510000000000001</v>
      </c>
      <c r="D44">
        <v>0.62860000000000005</v>
      </c>
      <c r="E44">
        <v>0.90529999999999999</v>
      </c>
    </row>
    <row r="45" spans="1:5" x14ac:dyDescent="0.25">
      <c r="A45" s="1" t="s">
        <v>6</v>
      </c>
      <c r="B45">
        <v>0.46629999999999999</v>
      </c>
      <c r="C45">
        <v>0.40489999999999998</v>
      </c>
      <c r="D45">
        <v>0.63629999999999998</v>
      </c>
      <c r="E45">
        <v>0.90290000000000004</v>
      </c>
    </row>
    <row r="48" spans="1:5" x14ac:dyDescent="0.25">
      <c r="B48" s="3" t="s">
        <v>23</v>
      </c>
    </row>
    <row r="49" spans="1:5" x14ac:dyDescent="0.25">
      <c r="B49" t="s">
        <v>15</v>
      </c>
      <c r="C49" t="s">
        <v>16</v>
      </c>
      <c r="D49" t="s">
        <v>17</v>
      </c>
      <c r="E49" t="s">
        <v>18</v>
      </c>
    </row>
    <row r="50" spans="1:5" x14ac:dyDescent="0.25">
      <c r="A50" s="1" t="s">
        <v>3</v>
      </c>
      <c r="B50">
        <v>0.5081</v>
      </c>
      <c r="C50">
        <v>0.43819999999999998</v>
      </c>
      <c r="D50">
        <v>0.66200000000000003</v>
      </c>
      <c r="E50">
        <v>0.89490000000000003</v>
      </c>
    </row>
    <row r="51" spans="1:5" x14ac:dyDescent="0.25">
      <c r="A51" s="1" t="s">
        <v>4</v>
      </c>
      <c r="B51">
        <v>0.48809999999999998</v>
      </c>
      <c r="C51">
        <v>0.42349999999999999</v>
      </c>
      <c r="D51">
        <v>0.65080000000000005</v>
      </c>
      <c r="E51">
        <v>0.89849999999999997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1614-68A4-4EF7-B53D-D824D6DD0B43}">
  <dimension ref="A1:U8"/>
  <sheetViews>
    <sheetView workbookViewId="0">
      <selection activeCell="P2" sqref="P2:U7"/>
    </sheetView>
  </sheetViews>
  <sheetFormatPr defaultRowHeight="15" x14ac:dyDescent="0.25"/>
  <cols>
    <col min="2" max="2" width="10.85546875" bestFit="1" customWidth="1"/>
    <col min="3" max="3" width="10.85546875" customWidth="1"/>
    <col min="4" max="4" width="12.5703125" customWidth="1"/>
    <col min="18" max="18" width="11.42578125" customWidth="1"/>
    <col min="19" max="19" width="20.28515625" customWidth="1"/>
    <col min="20" max="20" width="19.140625" customWidth="1"/>
    <col min="21" max="21" width="22" customWidth="1"/>
  </cols>
  <sheetData>
    <row r="1" spans="1:21" x14ac:dyDescent="0.25">
      <c r="B1" s="17" t="s">
        <v>24</v>
      </c>
      <c r="C1" s="17"/>
      <c r="D1" s="17"/>
      <c r="E1" s="17" t="s">
        <v>25</v>
      </c>
      <c r="F1" s="17"/>
      <c r="G1" s="17"/>
      <c r="H1" s="17" t="s">
        <v>26</v>
      </c>
      <c r="I1" s="17"/>
      <c r="J1" s="17"/>
    </row>
    <row r="2" spans="1:21" x14ac:dyDescent="0.25">
      <c r="B2" t="s">
        <v>15</v>
      </c>
      <c r="C2" t="s">
        <v>17</v>
      </c>
      <c r="D2" t="s">
        <v>18</v>
      </c>
      <c r="E2" t="s">
        <v>15</v>
      </c>
      <c r="F2" t="s">
        <v>17</v>
      </c>
      <c r="G2" t="s">
        <v>18</v>
      </c>
      <c r="H2" t="s">
        <v>15</v>
      </c>
      <c r="I2" t="s">
        <v>17</v>
      </c>
      <c r="J2" t="s">
        <v>18</v>
      </c>
      <c r="P2" t="s">
        <v>31</v>
      </c>
      <c r="Q2" t="s">
        <v>24</v>
      </c>
      <c r="R2" t="s">
        <v>27</v>
      </c>
      <c r="S2" t="s">
        <v>29</v>
      </c>
      <c r="T2" t="s">
        <v>28</v>
      </c>
      <c r="U2" t="s">
        <v>30</v>
      </c>
    </row>
    <row r="3" spans="1:21" x14ac:dyDescent="0.25">
      <c r="A3">
        <v>100</v>
      </c>
      <c r="B3">
        <v>0.70891386000000001</v>
      </c>
      <c r="C3">
        <v>0.86506689999999997</v>
      </c>
      <c r="D3">
        <v>0.792585705504672</v>
      </c>
      <c r="E3">
        <v>0.84979709999999997</v>
      </c>
      <c r="F3">
        <v>1.2541462000000001</v>
      </c>
      <c r="G3">
        <v>0.69929739042819905</v>
      </c>
      <c r="H3">
        <v>0.67960209999999999</v>
      </c>
      <c r="I3">
        <v>0.76230394999999995</v>
      </c>
      <c r="J3">
        <v>0.81722483552089698</v>
      </c>
      <c r="P3">
        <v>100</v>
      </c>
      <c r="Q3">
        <v>0.70250000000000001</v>
      </c>
      <c r="R3">
        <v>0.85209999999999997</v>
      </c>
      <c r="S3">
        <v>0.68279999999999996</v>
      </c>
      <c r="T3" s="5">
        <v>0.4173</v>
      </c>
      <c r="U3">
        <v>0.44400000000000001</v>
      </c>
    </row>
    <row r="4" spans="1:21" ht="15.75" x14ac:dyDescent="0.25">
      <c r="A4">
        <v>500</v>
      </c>
      <c r="B4">
        <v>0.50456947088241499</v>
      </c>
      <c r="C4">
        <v>0.47465994954109098</v>
      </c>
      <c r="D4">
        <v>0.88619232177734297</v>
      </c>
      <c r="E4">
        <v>0.61857092380523604</v>
      </c>
      <c r="F4">
        <v>0.686576068401336</v>
      </c>
      <c r="G4">
        <v>0.83538186550140303</v>
      </c>
      <c r="H4">
        <v>0.47457686066627502</v>
      </c>
      <c r="I4">
        <v>0.39339673519134499</v>
      </c>
      <c r="J4">
        <v>0.90567654371261597</v>
      </c>
      <c r="P4">
        <v>500</v>
      </c>
      <c r="Q4" s="4">
        <v>0.54759999999999998</v>
      </c>
      <c r="R4">
        <v>0.71799999999999997</v>
      </c>
      <c r="S4">
        <v>0.51400000000000001</v>
      </c>
      <c r="T4" s="6">
        <v>0.41770000000000002</v>
      </c>
      <c r="U4">
        <v>0.4481</v>
      </c>
    </row>
    <row r="5" spans="1:21" x14ac:dyDescent="0.25">
      <c r="A5">
        <v>1000</v>
      </c>
      <c r="B5" s="1">
        <v>0.55542930000000001</v>
      </c>
      <c r="C5">
        <v>0.51662516999999997</v>
      </c>
      <c r="D5">
        <v>0.87613044264864504</v>
      </c>
      <c r="E5" s="1">
        <v>0.71185980000000004</v>
      </c>
      <c r="F5">
        <v>0.88632434999999998</v>
      </c>
      <c r="G5">
        <v>0.787488871721994</v>
      </c>
      <c r="H5" s="1">
        <v>0.52219380000000004</v>
      </c>
      <c r="I5">
        <v>0.45400059999999998</v>
      </c>
      <c r="J5">
        <v>0.89114574143444802</v>
      </c>
      <c r="P5">
        <v>1000</v>
      </c>
      <c r="Q5">
        <v>0.55430000000000001</v>
      </c>
      <c r="R5">
        <v>0.70250000000000001</v>
      </c>
      <c r="S5">
        <v>0.52049999999999996</v>
      </c>
      <c r="T5" s="6">
        <v>0.4118</v>
      </c>
      <c r="U5">
        <v>0.44259999999999999</v>
      </c>
    </row>
    <row r="6" spans="1:21" x14ac:dyDescent="0.25">
      <c r="A6">
        <v>2000</v>
      </c>
      <c r="B6">
        <v>0.48687300086021401</v>
      </c>
      <c r="C6">
        <v>0.45523715019226002</v>
      </c>
      <c r="D6">
        <v>0.89084923267364502</v>
      </c>
      <c r="E6">
        <v>0.59769618511199896</v>
      </c>
      <c r="F6">
        <v>0.63808310031890803</v>
      </c>
      <c r="G6">
        <v>0.84700888395309404</v>
      </c>
      <c r="P6">
        <v>2000</v>
      </c>
      <c r="Q6">
        <v>0.51280000000000003</v>
      </c>
      <c r="R6">
        <v>0.69099999999999995</v>
      </c>
      <c r="S6">
        <v>0.49081999999999998</v>
      </c>
      <c r="T6" s="7">
        <v>0.40620000000000001</v>
      </c>
      <c r="U6">
        <v>0.44740000000000002</v>
      </c>
    </row>
    <row r="7" spans="1:21" x14ac:dyDescent="0.25">
      <c r="A7">
        <v>5000</v>
      </c>
      <c r="P7">
        <v>5000</v>
      </c>
      <c r="Q7">
        <v>0.51549999999999996</v>
      </c>
      <c r="R7">
        <v>0.63634000000000002</v>
      </c>
      <c r="S7">
        <v>0.48380000000000001</v>
      </c>
      <c r="T7" s="8">
        <v>0.41489999999999999</v>
      </c>
      <c r="U7">
        <v>0.44467800000000002</v>
      </c>
    </row>
    <row r="8" spans="1:21" x14ac:dyDescent="0.25">
      <c r="A8">
        <v>10000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06EE-EA8F-46E1-9783-7F3A40A9B013}">
  <dimension ref="B2:E8"/>
  <sheetViews>
    <sheetView workbookViewId="0">
      <selection activeCell="B2" sqref="B2:E8"/>
    </sheetView>
  </sheetViews>
  <sheetFormatPr defaultRowHeight="15" x14ac:dyDescent="0.25"/>
  <sheetData>
    <row r="2" spans="2:5" x14ac:dyDescent="0.25">
      <c r="B2" t="s">
        <v>32</v>
      </c>
      <c r="C2" t="s">
        <v>15</v>
      </c>
      <c r="D2" t="s">
        <v>17</v>
      </c>
      <c r="E2" t="s">
        <v>18</v>
      </c>
    </row>
    <row r="3" spans="2:5" ht="15.75" x14ac:dyDescent="0.25">
      <c r="B3" s="9">
        <v>100</v>
      </c>
      <c r="C3">
        <v>0.73876041173934903</v>
      </c>
      <c r="D3">
        <v>0.96297234296798695</v>
      </c>
      <c r="E3">
        <v>0.76911121367978597</v>
      </c>
    </row>
    <row r="4" spans="2:5" ht="15.75" x14ac:dyDescent="0.25">
      <c r="B4" s="9">
        <v>500</v>
      </c>
      <c r="C4">
        <v>0.68680828809738104</v>
      </c>
      <c r="D4">
        <v>0.89325076341628995</v>
      </c>
      <c r="E4">
        <v>0.78582813680914199</v>
      </c>
    </row>
    <row r="5" spans="2:5" ht="15.75" x14ac:dyDescent="0.25">
      <c r="B5" s="9">
        <v>1000</v>
      </c>
      <c r="C5">
        <v>0.64935684204101496</v>
      </c>
      <c r="D5">
        <v>0.78695291280746404</v>
      </c>
      <c r="E5">
        <v>0.81131484386633002</v>
      </c>
    </row>
    <row r="6" spans="2:5" ht="15.75" x14ac:dyDescent="0.25">
      <c r="B6" s="9">
        <v>2000</v>
      </c>
      <c r="C6">
        <v>0.63406324386596602</v>
      </c>
      <c r="D6">
        <v>0.737140893936157</v>
      </c>
      <c r="E6">
        <v>0.82325808165618197</v>
      </c>
    </row>
    <row r="7" spans="2:5" ht="15.75" x14ac:dyDescent="0.25">
      <c r="B7" s="9">
        <v>5000</v>
      </c>
      <c r="C7">
        <v>0.61597567796707098</v>
      </c>
      <c r="D7">
        <v>0.71768409013748102</v>
      </c>
      <c r="E7">
        <v>0.82792319266108005</v>
      </c>
    </row>
    <row r="8" spans="2:5" ht="15.75" x14ac:dyDescent="0.25">
      <c r="B8" s="9">
        <v>10000</v>
      </c>
      <c r="C8">
        <v>0.60592335462570102</v>
      </c>
      <c r="D8">
        <v>0.69231849908828702</v>
      </c>
      <c r="E8">
        <v>0.83400501026122298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9D9E-6C75-49F6-8C78-C423FF21F2AB}">
  <dimension ref="B4:H27"/>
  <sheetViews>
    <sheetView topLeftCell="A9" workbookViewId="0">
      <selection activeCell="B23" sqref="B23:E27"/>
    </sheetView>
  </sheetViews>
  <sheetFormatPr defaultRowHeight="15" x14ac:dyDescent="0.25"/>
  <sheetData>
    <row r="4" spans="2:8" ht="15.75" x14ac:dyDescent="0.25">
      <c r="B4" s="10" t="s">
        <v>33</v>
      </c>
      <c r="C4" s="11" t="s">
        <v>15</v>
      </c>
      <c r="D4">
        <v>0.62114930152893</v>
      </c>
      <c r="E4" t="s">
        <v>17</v>
      </c>
      <c r="F4">
        <v>0.69608050584793002</v>
      </c>
      <c r="G4" t="s">
        <v>18</v>
      </c>
      <c r="H4">
        <v>0.83310301140423104</v>
      </c>
    </row>
    <row r="5" spans="2:8" ht="15.75" x14ac:dyDescent="0.25">
      <c r="B5" s="10" t="s">
        <v>34</v>
      </c>
      <c r="C5" s="11" t="s">
        <v>15</v>
      </c>
      <c r="D5">
        <v>0.50599944591522195</v>
      </c>
      <c r="E5" t="s">
        <v>17</v>
      </c>
      <c r="F5">
        <v>0.47123083472251798</v>
      </c>
      <c r="G5" t="s">
        <v>18</v>
      </c>
      <c r="H5">
        <v>0.88701449070843796</v>
      </c>
    </row>
    <row r="6" spans="2:8" ht="15.75" x14ac:dyDescent="0.25">
      <c r="B6" s="10" t="s">
        <v>35</v>
      </c>
      <c r="C6" s="11" t="s">
        <v>15</v>
      </c>
      <c r="D6">
        <v>0.51708972454071001</v>
      </c>
      <c r="E6" t="s">
        <v>17</v>
      </c>
      <c r="F6">
        <v>0.50116437673568703</v>
      </c>
      <c r="G6" t="s">
        <v>18</v>
      </c>
      <c r="H6">
        <v>0.87983742928074304</v>
      </c>
    </row>
    <row r="7" spans="2:8" ht="15.75" x14ac:dyDescent="0.25">
      <c r="B7" s="10" t="s">
        <v>36</v>
      </c>
      <c r="C7" s="11" t="s">
        <v>15</v>
      </c>
      <c r="D7">
        <v>0.48116490244865401</v>
      </c>
      <c r="E7" t="s">
        <v>17</v>
      </c>
      <c r="F7">
        <v>0.443012505769729</v>
      </c>
      <c r="G7" t="s">
        <v>18</v>
      </c>
      <c r="H7">
        <v>0.89378031241410705</v>
      </c>
    </row>
    <row r="10" spans="2:8" ht="15.75" x14ac:dyDescent="0.25">
      <c r="B10" s="10" t="s">
        <v>33</v>
      </c>
      <c r="C10" s="11" t="s">
        <v>15</v>
      </c>
      <c r="D10">
        <v>0.59108805656433105</v>
      </c>
      <c r="E10" t="s">
        <v>17</v>
      </c>
      <c r="F10">
        <v>0.63562333583831698</v>
      </c>
      <c r="G10" t="s">
        <v>18</v>
      </c>
      <c r="H10">
        <v>0.84759862477027204</v>
      </c>
    </row>
    <row r="11" spans="2:8" ht="15.75" x14ac:dyDescent="0.25">
      <c r="B11" s="10" t="s">
        <v>34</v>
      </c>
      <c r="C11" s="11" t="s">
        <v>15</v>
      </c>
      <c r="D11">
        <v>0.56122809648513705</v>
      </c>
      <c r="E11" t="s">
        <v>17</v>
      </c>
      <c r="F11">
        <v>0.57748013734817505</v>
      </c>
      <c r="G11" t="s">
        <v>18</v>
      </c>
      <c r="H11">
        <v>0.86153944258837101</v>
      </c>
    </row>
    <row r="12" spans="2:8" ht="15.75" x14ac:dyDescent="0.25">
      <c r="B12" s="10" t="s">
        <v>35</v>
      </c>
      <c r="C12" s="11" t="s">
        <v>15</v>
      </c>
      <c r="D12">
        <v>0.55659490823745705</v>
      </c>
      <c r="E12" t="s">
        <v>17</v>
      </c>
      <c r="F12">
        <v>0.57139521837234497</v>
      </c>
      <c r="G12" t="s">
        <v>18</v>
      </c>
      <c r="H12">
        <v>0.86299840394735705</v>
      </c>
    </row>
    <row r="13" spans="2:8" ht="15.75" x14ac:dyDescent="0.25">
      <c r="B13" s="10" t="s">
        <v>36</v>
      </c>
      <c r="C13" s="11" t="s">
        <v>15</v>
      </c>
      <c r="D13">
        <v>0.55697798728942804</v>
      </c>
      <c r="E13" t="s">
        <v>17</v>
      </c>
      <c r="F13">
        <v>0.57102119922637895</v>
      </c>
      <c r="G13" t="s">
        <v>18</v>
      </c>
      <c r="H13">
        <v>0.86308808267819204</v>
      </c>
    </row>
    <row r="16" spans="2:8" ht="15.75" x14ac:dyDescent="0.25">
      <c r="B16" s="10" t="s">
        <v>31</v>
      </c>
      <c r="C16" s="11" t="s">
        <v>15</v>
      </c>
      <c r="D16" t="s">
        <v>17</v>
      </c>
      <c r="E16" t="s">
        <v>18</v>
      </c>
    </row>
    <row r="17" spans="2:5" x14ac:dyDescent="0.25">
      <c r="B17">
        <v>100</v>
      </c>
      <c r="C17">
        <v>0.62114930152893</v>
      </c>
      <c r="D17">
        <v>0.69608050584793002</v>
      </c>
      <c r="E17">
        <v>0.83310301140423104</v>
      </c>
    </row>
    <row r="18" spans="2:5" x14ac:dyDescent="0.25">
      <c r="B18">
        <v>500</v>
      </c>
      <c r="C18">
        <v>0.50599944591522195</v>
      </c>
      <c r="D18">
        <v>0.47123083472251798</v>
      </c>
      <c r="E18">
        <v>0.88701449070843796</v>
      </c>
    </row>
    <row r="19" spans="2:5" x14ac:dyDescent="0.25">
      <c r="B19">
        <v>1000</v>
      </c>
      <c r="C19">
        <v>0.51708972454071001</v>
      </c>
      <c r="D19">
        <v>0.50116437673568703</v>
      </c>
      <c r="E19">
        <v>0.87983742928074304</v>
      </c>
    </row>
    <row r="20" spans="2:5" x14ac:dyDescent="0.25">
      <c r="B20">
        <v>5000</v>
      </c>
      <c r="C20">
        <v>0.48116490244865401</v>
      </c>
      <c r="D20">
        <v>0.443012505769729</v>
      </c>
      <c r="E20">
        <v>0.89378031241410705</v>
      </c>
    </row>
    <row r="23" spans="2:5" ht="15.75" x14ac:dyDescent="0.25">
      <c r="B23" s="10" t="s">
        <v>31</v>
      </c>
      <c r="C23" s="11" t="s">
        <v>15</v>
      </c>
      <c r="D23" t="s">
        <v>17</v>
      </c>
      <c r="E23" t="s">
        <v>18</v>
      </c>
    </row>
    <row r="24" spans="2:5" x14ac:dyDescent="0.25">
      <c r="B24">
        <v>100</v>
      </c>
      <c r="C24">
        <v>0.59108805656433105</v>
      </c>
      <c r="D24">
        <v>0.63562333583831698</v>
      </c>
      <c r="E24">
        <v>0.84759862477027204</v>
      </c>
    </row>
    <row r="25" spans="2:5" x14ac:dyDescent="0.25">
      <c r="B25">
        <v>500</v>
      </c>
      <c r="C25">
        <v>0.56122809648513705</v>
      </c>
      <c r="D25">
        <v>0.57748013734817505</v>
      </c>
      <c r="E25">
        <v>0.86153944258837101</v>
      </c>
    </row>
    <row r="26" spans="2:5" x14ac:dyDescent="0.25">
      <c r="B26">
        <v>1000</v>
      </c>
      <c r="C26">
        <v>0.55659490823745705</v>
      </c>
      <c r="D26">
        <v>0.57139521837234497</v>
      </c>
      <c r="E26">
        <v>0.86299840394735705</v>
      </c>
    </row>
    <row r="27" spans="2:5" x14ac:dyDescent="0.25">
      <c r="B27">
        <v>5000</v>
      </c>
      <c r="C27">
        <v>0.55697798728942804</v>
      </c>
      <c r="D27">
        <v>0.57102119922637895</v>
      </c>
      <c r="E27">
        <v>0.86308808267819204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6702-8316-4866-AF73-215B6F8716F8}">
  <dimension ref="B1:AB104"/>
  <sheetViews>
    <sheetView tabSelected="1" workbookViewId="0">
      <selection activeCell="Q21" sqref="Q21"/>
    </sheetView>
  </sheetViews>
  <sheetFormatPr defaultRowHeight="15" x14ac:dyDescent="0.25"/>
  <cols>
    <col min="14" max="15" width="15" customWidth="1"/>
    <col min="16" max="16" width="14" customWidth="1"/>
    <col min="20" max="20" width="13.140625" customWidth="1"/>
    <col min="21" max="21" width="13.42578125" customWidth="1"/>
    <col min="22" max="22" width="14.5703125" customWidth="1"/>
    <col min="25" max="25" width="12.28515625" customWidth="1"/>
    <col min="26" max="26" width="13.5703125" customWidth="1"/>
    <col min="27" max="27" width="14.28515625" customWidth="1"/>
    <col min="28" max="28" width="14" customWidth="1"/>
  </cols>
  <sheetData>
    <row r="1" spans="2:28" ht="23.25" x14ac:dyDescent="0.35">
      <c r="B1" s="18">
        <v>100</v>
      </c>
      <c r="C1" s="18"/>
      <c r="D1" s="18"/>
      <c r="E1" s="18"/>
      <c r="F1" s="18"/>
      <c r="G1" s="18"/>
      <c r="H1" s="18"/>
      <c r="I1" s="18"/>
      <c r="J1" s="18"/>
    </row>
    <row r="2" spans="2:28" x14ac:dyDescent="0.25">
      <c r="B2" t="s">
        <v>37</v>
      </c>
    </row>
    <row r="3" spans="2:28" x14ac:dyDescent="0.25">
      <c r="B3" t="s">
        <v>38</v>
      </c>
      <c r="L3" t="s">
        <v>109</v>
      </c>
      <c r="R3" t="s">
        <v>110</v>
      </c>
      <c r="X3" t="s">
        <v>111</v>
      </c>
    </row>
    <row r="4" spans="2:28" x14ac:dyDescent="0.25">
      <c r="B4" t="s">
        <v>39</v>
      </c>
      <c r="L4" s="12" t="s">
        <v>106</v>
      </c>
      <c r="M4" s="12" t="s">
        <v>107</v>
      </c>
      <c r="N4" s="12" t="s">
        <v>15</v>
      </c>
      <c r="O4" s="12" t="s">
        <v>17</v>
      </c>
      <c r="P4" s="12" t="s">
        <v>18</v>
      </c>
      <c r="R4" s="12" t="s">
        <v>106</v>
      </c>
      <c r="S4" s="12" t="s">
        <v>107</v>
      </c>
      <c r="T4" s="12" t="s">
        <v>15</v>
      </c>
      <c r="U4" s="12" t="s">
        <v>17</v>
      </c>
      <c r="V4" s="12" t="s">
        <v>18</v>
      </c>
      <c r="X4" s="12" t="s">
        <v>106</v>
      </c>
      <c r="Y4" s="12" t="s">
        <v>107</v>
      </c>
      <c r="Z4" s="12" t="s">
        <v>15</v>
      </c>
      <c r="AA4" s="12" t="s">
        <v>17</v>
      </c>
      <c r="AB4" s="12" t="s">
        <v>18</v>
      </c>
    </row>
    <row r="5" spans="2:28" x14ac:dyDescent="0.25">
      <c r="L5" s="13">
        <v>100</v>
      </c>
      <c r="M5" s="13">
        <v>0</v>
      </c>
      <c r="N5" s="14">
        <v>1.1084000000000001</v>
      </c>
      <c r="O5" s="14">
        <v>1.4201999999999999</v>
      </c>
      <c r="P5" s="14">
        <v>0.51639999999999997</v>
      </c>
      <c r="R5" s="13">
        <v>100</v>
      </c>
      <c r="S5" s="13">
        <v>0</v>
      </c>
      <c r="T5" s="14">
        <v>0.99729999999999996</v>
      </c>
      <c r="U5" s="14">
        <v>1.3097000000000001</v>
      </c>
      <c r="V5" s="14">
        <v>0.5887</v>
      </c>
      <c r="X5" s="13">
        <v>100</v>
      </c>
      <c r="Y5" s="13">
        <v>0</v>
      </c>
      <c r="Z5" s="14">
        <v>0.93859999999999999</v>
      </c>
      <c r="AA5" s="14">
        <v>1.2082999999999999</v>
      </c>
      <c r="AB5" s="14">
        <v>0.65</v>
      </c>
    </row>
    <row r="6" spans="2:28" x14ac:dyDescent="0.25">
      <c r="B6" t="s">
        <v>40</v>
      </c>
      <c r="L6" s="13">
        <v>100</v>
      </c>
      <c r="M6" s="13">
        <v>1</v>
      </c>
      <c r="N6" s="14">
        <v>1.1242000000000001</v>
      </c>
      <c r="O6" s="14">
        <v>1.4200999999999999</v>
      </c>
      <c r="P6" s="14">
        <v>0.51649999999999996</v>
      </c>
      <c r="R6" s="13">
        <v>100</v>
      </c>
      <c r="S6" s="13">
        <v>1</v>
      </c>
      <c r="T6" s="14">
        <v>0.92700000000000005</v>
      </c>
      <c r="U6" s="14">
        <v>1.1989000000000001</v>
      </c>
      <c r="V6" s="14">
        <v>0.65539999999999998</v>
      </c>
      <c r="X6" s="13">
        <v>100</v>
      </c>
      <c r="Y6" s="13">
        <v>1</v>
      </c>
      <c r="Z6" s="14">
        <v>0.94120000000000004</v>
      </c>
      <c r="AA6" s="14">
        <v>1.2133</v>
      </c>
      <c r="AB6" s="14">
        <v>0.64700000000000002</v>
      </c>
    </row>
    <row r="7" spans="2:28" x14ac:dyDescent="0.25">
      <c r="B7" t="s">
        <v>41</v>
      </c>
      <c r="L7" s="13">
        <v>100</v>
      </c>
      <c r="M7" s="13">
        <v>2</v>
      </c>
      <c r="N7" s="14">
        <v>1.1192</v>
      </c>
      <c r="O7" s="14">
        <v>1.4162999999999999</v>
      </c>
      <c r="P7" s="14">
        <v>0.51900000000000002</v>
      </c>
      <c r="R7" s="13">
        <v>100</v>
      </c>
      <c r="S7" s="13">
        <v>2</v>
      </c>
      <c r="T7" s="14">
        <v>0.98160000000000003</v>
      </c>
      <c r="U7" s="14">
        <v>1.2667999999999999</v>
      </c>
      <c r="V7" s="14">
        <v>0.61529999999999996</v>
      </c>
      <c r="X7" s="13">
        <v>100</v>
      </c>
      <c r="Y7" s="13">
        <v>2</v>
      </c>
      <c r="Z7" s="14">
        <v>0.87350000000000005</v>
      </c>
      <c r="AA7" s="14">
        <v>1.1198999999999999</v>
      </c>
      <c r="AB7" s="14">
        <v>0.69930000000000003</v>
      </c>
    </row>
    <row r="8" spans="2:28" x14ac:dyDescent="0.25">
      <c r="B8" t="s">
        <v>42</v>
      </c>
      <c r="L8" s="13">
        <v>100</v>
      </c>
      <c r="M8" s="13">
        <v>3</v>
      </c>
      <c r="N8" s="14">
        <v>1.0649999999999999</v>
      </c>
      <c r="O8" s="14">
        <v>1.3425</v>
      </c>
      <c r="P8" s="14">
        <v>0.56789999999999996</v>
      </c>
      <c r="R8" s="13">
        <v>100</v>
      </c>
      <c r="S8" s="13">
        <v>3</v>
      </c>
      <c r="T8" s="14">
        <v>0.96050000000000002</v>
      </c>
      <c r="U8" s="14">
        <v>1.2217</v>
      </c>
      <c r="V8" s="14">
        <v>0.6421</v>
      </c>
      <c r="X8" s="13">
        <v>100</v>
      </c>
      <c r="Y8" s="13">
        <v>3</v>
      </c>
      <c r="Z8" s="14">
        <v>0.93789999999999996</v>
      </c>
      <c r="AA8" s="14">
        <v>1.21</v>
      </c>
      <c r="AB8" s="14">
        <v>0.64900000000000002</v>
      </c>
    </row>
    <row r="9" spans="2:28" x14ac:dyDescent="0.25">
      <c r="L9" s="13">
        <v>100</v>
      </c>
      <c r="M9" s="13">
        <v>4</v>
      </c>
      <c r="N9" s="14">
        <v>1.0771999999999999</v>
      </c>
      <c r="O9" s="14">
        <v>1.3565</v>
      </c>
      <c r="P9" s="14">
        <v>0.55879999999999996</v>
      </c>
      <c r="R9" s="13">
        <v>100</v>
      </c>
      <c r="S9" s="13">
        <v>4</v>
      </c>
      <c r="T9" s="14">
        <v>0.94340000000000002</v>
      </c>
      <c r="U9" s="14">
        <v>1.2198</v>
      </c>
      <c r="V9" s="14">
        <v>0.64329999999999998</v>
      </c>
      <c r="X9" s="13">
        <v>100</v>
      </c>
      <c r="Y9" s="13">
        <v>4</v>
      </c>
      <c r="Z9" s="14">
        <v>0.91669999999999996</v>
      </c>
      <c r="AA9" s="14">
        <v>1.1777</v>
      </c>
      <c r="AB9" s="14">
        <v>0.66739999999999999</v>
      </c>
    </row>
    <row r="10" spans="2:28" x14ac:dyDescent="0.25">
      <c r="B10" t="s">
        <v>43</v>
      </c>
      <c r="L10" s="15">
        <v>100</v>
      </c>
      <c r="M10" s="15" t="s">
        <v>108</v>
      </c>
      <c r="N10" s="16" t="str">
        <f>ROUND(AVERAGE(N5:N9), 3) &amp; " ± " &amp; ROUND(_xlfn.STDEV.S(N5:N9), 2)</f>
        <v>1.099 ± 0.03</v>
      </c>
      <c r="O10" s="16" t="str">
        <f>ROUND(AVERAGE(O5:O9), 3) &amp; " ± " &amp; ROUND(_xlfn.STDEV.S(O5:O9), 2)</f>
        <v>1.391 ± 0.04</v>
      </c>
      <c r="P10" s="16" t="str">
        <f>ROUND(AVERAGE(P5:P9), 3) &amp; " ± " &amp; ROUND(_xlfn.STDEV.S(P5:P9), 2)</f>
        <v>0.536 ± 0.03</v>
      </c>
      <c r="R10" s="15">
        <v>100</v>
      </c>
      <c r="S10" s="15" t="s">
        <v>108</v>
      </c>
      <c r="T10" s="16" t="str">
        <f>ROUND(AVERAGE(T5:T9), 3) &amp; " ± " &amp; ROUND(_xlfn.STDEV.S(T5:T9), 2)</f>
        <v>0.962 ± 0.03</v>
      </c>
      <c r="U10" s="16" t="str">
        <f>ROUND(AVERAGE(U5:U9), 3) &amp; " ± " &amp; ROUND(_xlfn.STDEV.S(U5:U9), 2)</f>
        <v>1.243 ± 0.04</v>
      </c>
      <c r="V10" s="16" t="str">
        <f>ROUND(AVERAGE(V5:V9), 3) &amp; " ± " &amp; ROUND(_xlfn.STDEV.S(V5:V9), 2)</f>
        <v>0.629 ± 0.03</v>
      </c>
      <c r="X10" s="15">
        <v>100</v>
      </c>
      <c r="Y10" s="15" t="s">
        <v>108</v>
      </c>
      <c r="Z10" s="16" t="str">
        <f>ROUND(AVERAGE(Z5:Z9), 3) &amp; " ± " &amp; ROUND(_xlfn.STDEV.S(Z5:Z9), 2)</f>
        <v>0.922 ± 0.03</v>
      </c>
      <c r="AA10" s="16" t="str">
        <f>ROUND(AVERAGE(AA5:AA9), 3) &amp; " ± " &amp; ROUND(_xlfn.STDEV.S(AA5:AA9), 2)</f>
        <v>1.186 ± 0.04</v>
      </c>
      <c r="AB10" s="16" t="str">
        <f>ROUND(AVERAGE(AB5:AB9), 3) &amp; " ± " &amp; ROUND(_xlfn.STDEV.S(AB5:AB9), 2)</f>
        <v>0.663 ± 0.02</v>
      </c>
    </row>
    <row r="11" spans="2:28" x14ac:dyDescent="0.25">
      <c r="B11" t="s">
        <v>44</v>
      </c>
    </row>
    <row r="12" spans="2:28" x14ac:dyDescent="0.25">
      <c r="B12" t="s">
        <v>45</v>
      </c>
      <c r="M12" t="s">
        <v>15</v>
      </c>
      <c r="N12" t="s">
        <v>17</v>
      </c>
      <c r="O12" t="s">
        <v>18</v>
      </c>
    </row>
    <row r="13" spans="2:28" x14ac:dyDescent="0.25">
      <c r="L13">
        <v>100</v>
      </c>
      <c r="M13" t="s">
        <v>112</v>
      </c>
      <c r="N13" t="s">
        <v>113</v>
      </c>
      <c r="O13" t="s">
        <v>114</v>
      </c>
    </row>
    <row r="14" spans="2:28" x14ac:dyDescent="0.25">
      <c r="B14" t="s">
        <v>46</v>
      </c>
      <c r="L14">
        <v>500</v>
      </c>
      <c r="M14" t="s">
        <v>115</v>
      </c>
      <c r="N14" t="s">
        <v>116</v>
      </c>
      <c r="O14" t="s">
        <v>117</v>
      </c>
    </row>
    <row r="15" spans="2:28" x14ac:dyDescent="0.25">
      <c r="B15" t="s">
        <v>47</v>
      </c>
      <c r="L15">
        <v>1000</v>
      </c>
      <c r="M15" t="s">
        <v>118</v>
      </c>
      <c r="N15" t="s">
        <v>119</v>
      </c>
      <c r="O15" t="s">
        <v>120</v>
      </c>
    </row>
    <row r="16" spans="2:28" x14ac:dyDescent="0.25">
      <c r="B16" t="s">
        <v>48</v>
      </c>
      <c r="L16">
        <v>2000</v>
      </c>
      <c r="M16" t="s">
        <v>121</v>
      </c>
      <c r="N16" t="s">
        <v>122</v>
      </c>
      <c r="O16" t="s">
        <v>123</v>
      </c>
    </row>
    <row r="17" spans="2:28" x14ac:dyDescent="0.25">
      <c r="L17">
        <v>5000</v>
      </c>
      <c r="M17" t="s">
        <v>124</v>
      </c>
      <c r="N17" t="s">
        <v>125</v>
      </c>
      <c r="O17" t="s">
        <v>126</v>
      </c>
    </row>
    <row r="18" spans="2:28" x14ac:dyDescent="0.25">
      <c r="B18" t="s">
        <v>49</v>
      </c>
      <c r="L18">
        <v>10000</v>
      </c>
      <c r="M18">
        <v>0</v>
      </c>
      <c r="N18">
        <v>0</v>
      </c>
      <c r="O18">
        <v>0</v>
      </c>
    </row>
    <row r="19" spans="2:28" x14ac:dyDescent="0.25">
      <c r="B19" t="s">
        <v>50</v>
      </c>
    </row>
    <row r="20" spans="2:28" x14ac:dyDescent="0.25">
      <c r="B20" t="s">
        <v>51</v>
      </c>
    </row>
    <row r="23" spans="2:28" x14ac:dyDescent="0.25">
      <c r="L23" t="s">
        <v>109</v>
      </c>
      <c r="R23" t="s">
        <v>110</v>
      </c>
      <c r="X23" t="s">
        <v>111</v>
      </c>
    </row>
    <row r="24" spans="2:28" ht="21" x14ac:dyDescent="0.35">
      <c r="B24" s="19">
        <v>500</v>
      </c>
      <c r="C24" s="19"/>
      <c r="D24" s="19"/>
      <c r="E24" s="19"/>
      <c r="F24" s="19"/>
      <c r="G24" s="19"/>
      <c r="H24" s="19"/>
      <c r="I24" s="19"/>
      <c r="J24" s="19"/>
      <c r="K24" s="19"/>
      <c r="L24" s="12" t="s">
        <v>106</v>
      </c>
      <c r="M24" s="12" t="s">
        <v>107</v>
      </c>
      <c r="N24" s="12" t="s">
        <v>15</v>
      </c>
      <c r="O24" s="12" t="s">
        <v>17</v>
      </c>
      <c r="P24" s="12" t="s">
        <v>18</v>
      </c>
      <c r="R24" s="12" t="s">
        <v>106</v>
      </c>
      <c r="S24" s="12" t="s">
        <v>107</v>
      </c>
      <c r="T24" s="12" t="s">
        <v>15</v>
      </c>
      <c r="U24" s="12" t="s">
        <v>17</v>
      </c>
      <c r="V24" s="12" t="s">
        <v>18</v>
      </c>
      <c r="X24" s="12" t="s">
        <v>106</v>
      </c>
      <c r="Y24" s="12" t="s">
        <v>107</v>
      </c>
      <c r="Z24" s="12" t="s">
        <v>15</v>
      </c>
      <c r="AA24" s="12" t="s">
        <v>17</v>
      </c>
      <c r="AB24" s="12" t="s">
        <v>18</v>
      </c>
    </row>
    <row r="25" spans="2:28" x14ac:dyDescent="0.25">
      <c r="L25" s="13">
        <v>500</v>
      </c>
      <c r="M25" s="13">
        <v>0</v>
      </c>
      <c r="N25" s="14">
        <v>0.85350000000000004</v>
      </c>
      <c r="O25" s="14">
        <v>1.1013999999999999</v>
      </c>
      <c r="P25" s="14">
        <v>0.70909999999999995</v>
      </c>
      <c r="R25" s="13">
        <v>500</v>
      </c>
      <c r="S25" s="13">
        <v>0</v>
      </c>
      <c r="T25" s="14">
        <v>0.85670000000000002</v>
      </c>
      <c r="U25" s="14">
        <v>1.0965</v>
      </c>
      <c r="V25" s="14">
        <v>0.7117</v>
      </c>
      <c r="X25" s="13">
        <v>500</v>
      </c>
      <c r="Y25" s="13">
        <v>0</v>
      </c>
      <c r="Z25" s="14">
        <v>0.82750000000000001</v>
      </c>
      <c r="AA25" s="14">
        <v>1.0619000000000001</v>
      </c>
      <c r="AB25" s="14">
        <v>0.72960000000000003</v>
      </c>
    </row>
    <row r="26" spans="2:28" x14ac:dyDescent="0.25">
      <c r="B26" t="s">
        <v>52</v>
      </c>
      <c r="L26" s="13">
        <v>500</v>
      </c>
      <c r="M26" s="13">
        <v>1</v>
      </c>
      <c r="N26" s="14">
        <v>0.88470000000000004</v>
      </c>
      <c r="O26" s="14">
        <v>1.1362000000000001</v>
      </c>
      <c r="P26" s="14">
        <v>0.6905</v>
      </c>
      <c r="R26" s="13">
        <v>500</v>
      </c>
      <c r="S26" s="13">
        <v>1</v>
      </c>
      <c r="T26" s="14">
        <v>0.8972</v>
      </c>
      <c r="U26" s="14">
        <v>1.1504000000000001</v>
      </c>
      <c r="V26" s="14">
        <v>0.68269999999999997</v>
      </c>
      <c r="X26" s="13">
        <v>500</v>
      </c>
      <c r="Y26" s="13">
        <v>1</v>
      </c>
      <c r="Z26" s="14">
        <v>0.85970000000000002</v>
      </c>
      <c r="AA26" s="14">
        <v>1.1016999999999999</v>
      </c>
      <c r="AB26" s="14">
        <v>0.70899999999999996</v>
      </c>
    </row>
    <row r="27" spans="2:28" x14ac:dyDescent="0.25">
      <c r="B27" t="s">
        <v>53</v>
      </c>
      <c r="L27" s="13">
        <v>500</v>
      </c>
      <c r="M27" s="13">
        <v>2</v>
      </c>
      <c r="N27" s="14">
        <v>0.90620000000000001</v>
      </c>
      <c r="O27" s="14">
        <v>1.1499999999999999</v>
      </c>
      <c r="P27" s="14">
        <v>0.68289999999999995</v>
      </c>
      <c r="R27" s="13">
        <v>500</v>
      </c>
      <c r="S27" s="13">
        <v>2</v>
      </c>
      <c r="T27" s="14">
        <v>0.86539999999999995</v>
      </c>
      <c r="U27" s="14">
        <v>1.1171</v>
      </c>
      <c r="V27" s="14">
        <v>0.70079999999999998</v>
      </c>
      <c r="X27" s="13">
        <v>500</v>
      </c>
      <c r="Y27" s="13">
        <v>2</v>
      </c>
      <c r="Z27" s="14">
        <v>0.85240000000000005</v>
      </c>
      <c r="AA27" s="14">
        <v>1.0757000000000001</v>
      </c>
      <c r="AB27" s="14">
        <v>0.72260000000000002</v>
      </c>
    </row>
    <row r="28" spans="2:28" x14ac:dyDescent="0.25">
      <c r="B28" t="s">
        <v>54</v>
      </c>
      <c r="L28" s="13">
        <v>500</v>
      </c>
      <c r="M28" s="13">
        <v>3</v>
      </c>
      <c r="N28" s="14">
        <v>0.87129999999999996</v>
      </c>
      <c r="O28" s="14">
        <v>1.1125</v>
      </c>
      <c r="P28" s="14">
        <v>0.70330000000000004</v>
      </c>
      <c r="R28" s="13">
        <v>500</v>
      </c>
      <c r="S28" s="13">
        <v>3</v>
      </c>
      <c r="T28" s="14">
        <v>0.88319999999999999</v>
      </c>
      <c r="U28" s="14">
        <v>1.1374</v>
      </c>
      <c r="V28" s="14">
        <v>0.68979999999999997</v>
      </c>
      <c r="X28" s="13">
        <v>500</v>
      </c>
      <c r="Y28" s="13">
        <v>3</v>
      </c>
      <c r="Z28" s="14">
        <v>0.86560000000000004</v>
      </c>
      <c r="AA28" s="14">
        <v>1.1013999999999999</v>
      </c>
      <c r="AB28" s="14">
        <v>0.70909999999999995</v>
      </c>
    </row>
    <row r="29" spans="2:28" x14ac:dyDescent="0.25">
      <c r="L29" s="13">
        <v>500</v>
      </c>
      <c r="M29" s="13">
        <v>4</v>
      </c>
      <c r="N29" s="14">
        <v>0.83240000000000003</v>
      </c>
      <c r="O29" s="14">
        <v>1.1029</v>
      </c>
      <c r="P29" s="14">
        <v>0.70840000000000003</v>
      </c>
      <c r="R29" s="13">
        <v>500</v>
      </c>
      <c r="S29" s="13">
        <v>4</v>
      </c>
      <c r="T29" s="14">
        <v>0.88009999999999999</v>
      </c>
      <c r="U29" s="14">
        <v>1.1265000000000001</v>
      </c>
      <c r="V29" s="14">
        <v>0.69569999999999999</v>
      </c>
      <c r="X29" s="13">
        <v>500</v>
      </c>
      <c r="Y29" s="13">
        <v>4</v>
      </c>
      <c r="Z29" s="14">
        <v>0.86180000000000001</v>
      </c>
      <c r="AA29" s="14">
        <v>1.0961000000000001</v>
      </c>
      <c r="AB29" s="14">
        <v>0.71189999999999998</v>
      </c>
    </row>
    <row r="30" spans="2:28" x14ac:dyDescent="0.25">
      <c r="B30" t="s">
        <v>55</v>
      </c>
      <c r="L30" s="15">
        <v>500</v>
      </c>
      <c r="M30" s="15" t="s">
        <v>108</v>
      </c>
      <c r="N30" s="16" t="str">
        <f>ROUND(AVERAGE(N25:N29), 3) &amp; " ± " &amp; ROUND(_xlfn.STDEV.S(N25:N29), 2)</f>
        <v>0.87 ± 0.03</v>
      </c>
      <c r="O30" s="16" t="str">
        <f>ROUND(AVERAGE(O25:O29), 3) &amp; " ± " &amp; ROUND(_xlfn.STDEV.S(O25:O29), 2)</f>
        <v>1.121 ± 0.02</v>
      </c>
      <c r="P30" s="16" t="str">
        <f>ROUND(AVERAGE(P25:P29), 3) &amp; " ± " &amp; ROUND(_xlfn.STDEV.S(P25:P29), 2)</f>
        <v>0.699 ± 0.01</v>
      </c>
      <c r="R30" s="15">
        <v>500</v>
      </c>
      <c r="S30" s="15" t="s">
        <v>108</v>
      </c>
      <c r="T30" s="16" t="str">
        <f>ROUND(AVERAGE(T25:T29), 3) &amp; " ± " &amp; ROUND(_xlfn.STDEV.S(T25:T29), 2)</f>
        <v>0.877 ± 0.02</v>
      </c>
      <c r="U30" s="16" t="str">
        <f>ROUND(AVERAGE(U25:U29), 3) &amp; " ± " &amp; ROUND(_xlfn.STDEV.S(U25:U29), 2)</f>
        <v>1.126 ± 0.02</v>
      </c>
      <c r="V30" s="16" t="str">
        <f>ROUND(AVERAGE(V25:V29), 3) &amp; " ± " &amp; ROUND(_xlfn.STDEV.S(V25:V29), 2)</f>
        <v>0.696 ± 0.01</v>
      </c>
      <c r="X30" s="15">
        <v>500</v>
      </c>
      <c r="Y30" s="16" t="s">
        <v>108</v>
      </c>
      <c r="Z30" s="16" t="str">
        <f>ROUND(AVERAGE(Z25:Z29), 3) &amp; " ± " &amp; ROUND(_xlfn.STDEV.S(Z25:Z29), 2)</f>
        <v>0.853 ± 0.02</v>
      </c>
      <c r="AA30" s="16" t="str">
        <f>ROUND(AVERAGE(AA25:AA29), 3) &amp; " ± " &amp; ROUND(_xlfn.STDEV.S(AA25:AA29), 2)</f>
        <v>1.087 ± 0.02</v>
      </c>
      <c r="AB30" s="16" t="str">
        <f>ROUND(AVERAGE(AB25:AB29), 3) &amp; " ± " &amp; ROUND(_xlfn.STDEV.S(AB25:AB29), 2)</f>
        <v>0.716 ± 0.01</v>
      </c>
    </row>
    <row r="31" spans="2:28" x14ac:dyDescent="0.25">
      <c r="B31" t="s">
        <v>56</v>
      </c>
    </row>
    <row r="32" spans="2:28" x14ac:dyDescent="0.25">
      <c r="B32" t="s">
        <v>57</v>
      </c>
    </row>
    <row r="34" spans="2:28" x14ac:dyDescent="0.25">
      <c r="B34" t="s">
        <v>58</v>
      </c>
    </row>
    <row r="35" spans="2:28" x14ac:dyDescent="0.25">
      <c r="B35" t="s">
        <v>59</v>
      </c>
    </row>
    <row r="36" spans="2:28" x14ac:dyDescent="0.25">
      <c r="B36" t="s">
        <v>60</v>
      </c>
    </row>
    <row r="38" spans="2:28" x14ac:dyDescent="0.25">
      <c r="B38" t="s">
        <v>61</v>
      </c>
    </row>
    <row r="39" spans="2:28" x14ac:dyDescent="0.25">
      <c r="B39" t="s">
        <v>62</v>
      </c>
    </row>
    <row r="40" spans="2:28" x14ac:dyDescent="0.25">
      <c r="B40" t="s">
        <v>63</v>
      </c>
    </row>
    <row r="42" spans="2:28" x14ac:dyDescent="0.25">
      <c r="B42" t="s">
        <v>64</v>
      </c>
    </row>
    <row r="43" spans="2:28" x14ac:dyDescent="0.25">
      <c r="B43" t="s">
        <v>65</v>
      </c>
    </row>
    <row r="44" spans="2:28" x14ac:dyDescent="0.25">
      <c r="B44" t="s">
        <v>66</v>
      </c>
    </row>
    <row r="45" spans="2:28" x14ac:dyDescent="0.25">
      <c r="L45" t="s">
        <v>109</v>
      </c>
      <c r="R45" t="s">
        <v>110</v>
      </c>
      <c r="X45" t="s">
        <v>111</v>
      </c>
    </row>
    <row r="46" spans="2:28" ht="21" x14ac:dyDescent="0.35">
      <c r="B46" s="19">
        <v>1000</v>
      </c>
      <c r="C46" s="19"/>
      <c r="D46" s="19"/>
      <c r="E46" s="19"/>
      <c r="F46" s="19"/>
      <c r="G46" s="19"/>
      <c r="H46" s="19"/>
      <c r="I46" s="19"/>
      <c r="J46" s="19"/>
      <c r="L46" s="12" t="s">
        <v>106</v>
      </c>
      <c r="M46" s="12" t="s">
        <v>107</v>
      </c>
      <c r="N46" s="12" t="s">
        <v>15</v>
      </c>
      <c r="O46" s="12" t="s">
        <v>17</v>
      </c>
      <c r="P46" s="12" t="s">
        <v>18</v>
      </c>
      <c r="R46" s="12" t="s">
        <v>106</v>
      </c>
      <c r="S46" s="12" t="s">
        <v>107</v>
      </c>
      <c r="T46" s="12" t="s">
        <v>15</v>
      </c>
      <c r="U46" s="12" t="s">
        <v>17</v>
      </c>
      <c r="V46" s="12" t="s">
        <v>18</v>
      </c>
      <c r="X46" s="12" t="s">
        <v>106</v>
      </c>
      <c r="Y46" s="12" t="s">
        <v>107</v>
      </c>
      <c r="Z46" s="12" t="s">
        <v>15</v>
      </c>
      <c r="AA46" s="12" t="s">
        <v>17</v>
      </c>
      <c r="AB46" s="12" t="s">
        <v>18</v>
      </c>
    </row>
    <row r="47" spans="2:28" x14ac:dyDescent="0.25">
      <c r="L47" s="13">
        <v>1000</v>
      </c>
      <c r="M47" s="13">
        <v>0</v>
      </c>
      <c r="N47" s="14">
        <v>0.84409999999999996</v>
      </c>
      <c r="O47" s="14">
        <v>1.0763</v>
      </c>
      <c r="P47" s="14">
        <v>0.72230000000000005</v>
      </c>
      <c r="R47" s="13">
        <v>1000</v>
      </c>
      <c r="S47" s="13">
        <v>0</v>
      </c>
      <c r="T47" s="14">
        <v>0.82199999999999995</v>
      </c>
      <c r="U47" s="14">
        <v>1.0569999999999999</v>
      </c>
      <c r="V47" s="14">
        <v>0.73209999999999997</v>
      </c>
      <c r="X47" s="13">
        <v>1000</v>
      </c>
      <c r="Y47" s="13">
        <v>0</v>
      </c>
      <c r="Z47" s="14">
        <v>0.78490000000000004</v>
      </c>
      <c r="AA47" s="14">
        <v>1.0021</v>
      </c>
      <c r="AB47" s="14">
        <v>0.75919999999999999</v>
      </c>
    </row>
    <row r="48" spans="2:28" x14ac:dyDescent="0.25">
      <c r="B48" t="s">
        <v>67</v>
      </c>
      <c r="L48" s="13">
        <v>1000</v>
      </c>
      <c r="M48" s="13">
        <v>1</v>
      </c>
      <c r="N48" s="14">
        <v>0.82669999999999999</v>
      </c>
      <c r="O48" s="14">
        <v>1.0546</v>
      </c>
      <c r="P48" s="14">
        <v>0.73329999999999995</v>
      </c>
      <c r="R48" s="13">
        <v>1000</v>
      </c>
      <c r="S48" s="13">
        <v>1</v>
      </c>
      <c r="T48" s="14">
        <v>0.83660000000000001</v>
      </c>
      <c r="U48" s="14">
        <v>1.0621</v>
      </c>
      <c r="V48" s="14">
        <v>0.72950000000000004</v>
      </c>
      <c r="X48" s="13">
        <v>1000</v>
      </c>
      <c r="Y48" s="13">
        <v>1</v>
      </c>
      <c r="Z48" s="14">
        <v>0.84289999999999998</v>
      </c>
      <c r="AA48" s="14">
        <v>1.0621</v>
      </c>
      <c r="AB48" s="14">
        <v>0.72950000000000004</v>
      </c>
    </row>
    <row r="49" spans="2:28" x14ac:dyDescent="0.25">
      <c r="B49" t="s">
        <v>68</v>
      </c>
      <c r="L49" s="13">
        <v>1000</v>
      </c>
      <c r="M49" s="13">
        <v>2</v>
      </c>
      <c r="N49" s="14">
        <v>0.81679999999999997</v>
      </c>
      <c r="O49" s="14">
        <v>1.0424</v>
      </c>
      <c r="P49" s="14">
        <v>0.73950000000000005</v>
      </c>
      <c r="R49" s="13">
        <v>1000</v>
      </c>
      <c r="S49" s="13">
        <v>2</v>
      </c>
      <c r="T49" s="14">
        <v>0.80030000000000001</v>
      </c>
      <c r="U49" s="14">
        <v>1.0349999999999999</v>
      </c>
      <c r="V49" s="14">
        <v>0.74319999999999997</v>
      </c>
      <c r="X49" s="13">
        <v>1000</v>
      </c>
      <c r="Y49" s="13">
        <v>2</v>
      </c>
      <c r="Z49" s="14">
        <v>0.83850000000000002</v>
      </c>
      <c r="AA49" s="14">
        <v>1.0616000000000001</v>
      </c>
      <c r="AB49" s="14">
        <v>0.7298</v>
      </c>
    </row>
    <row r="50" spans="2:28" x14ac:dyDescent="0.25">
      <c r="B50" t="s">
        <v>69</v>
      </c>
      <c r="L50" s="13">
        <v>1000</v>
      </c>
      <c r="M50" s="13">
        <v>3</v>
      </c>
      <c r="N50" s="14">
        <v>0.82169999999999999</v>
      </c>
      <c r="O50" s="14">
        <v>1.0667</v>
      </c>
      <c r="P50" s="14">
        <v>0.72719999999999996</v>
      </c>
      <c r="R50" s="13">
        <v>1000</v>
      </c>
      <c r="S50" s="13">
        <v>3</v>
      </c>
      <c r="T50" s="14">
        <v>0.81159999999999999</v>
      </c>
      <c r="U50" s="14">
        <v>1.0410999999999999</v>
      </c>
      <c r="V50" s="14">
        <v>0.74009999999999998</v>
      </c>
      <c r="X50" s="13">
        <v>1000</v>
      </c>
      <c r="Y50" s="13">
        <v>3</v>
      </c>
      <c r="Z50" s="14">
        <v>0.81869999999999998</v>
      </c>
      <c r="AA50" s="14">
        <v>1.0410999999999999</v>
      </c>
      <c r="AB50" s="14">
        <v>0.74009999999999998</v>
      </c>
    </row>
    <row r="51" spans="2:28" x14ac:dyDescent="0.25">
      <c r="L51" s="13">
        <v>1000</v>
      </c>
      <c r="M51" s="13">
        <v>4</v>
      </c>
      <c r="N51" s="14">
        <v>0.82689999999999997</v>
      </c>
      <c r="O51" s="14">
        <v>1.0808</v>
      </c>
      <c r="P51" s="14">
        <v>0.71989999999999998</v>
      </c>
      <c r="R51" s="13">
        <v>1000</v>
      </c>
      <c r="S51" s="13">
        <v>4</v>
      </c>
      <c r="T51" s="14">
        <v>0.83079999999999998</v>
      </c>
      <c r="U51" s="14">
        <v>1.0612999999999999</v>
      </c>
      <c r="V51" s="14">
        <v>0.72989999999999999</v>
      </c>
      <c r="X51" s="13">
        <v>1000</v>
      </c>
      <c r="Y51" s="13">
        <v>4</v>
      </c>
      <c r="Z51" s="14">
        <v>0.81920000000000004</v>
      </c>
      <c r="AA51" s="14">
        <v>1.048</v>
      </c>
      <c r="AB51" s="14">
        <v>0.73670000000000002</v>
      </c>
    </row>
    <row r="52" spans="2:28" x14ac:dyDescent="0.25">
      <c r="B52" t="s">
        <v>70</v>
      </c>
      <c r="L52" s="15">
        <v>1000</v>
      </c>
      <c r="M52" s="15" t="s">
        <v>108</v>
      </c>
      <c r="N52" s="16" t="str">
        <f>ROUND(AVERAGE(N47:N51), 3) &amp; " ± " &amp; ROUND(_xlfn.STDEV.S(N47:N51), 2)</f>
        <v>0.827 ± 0.01</v>
      </c>
      <c r="O52" s="16" t="str">
        <f>ROUND(AVERAGE(O47:O51), 3) &amp; " ± " &amp; ROUND(_xlfn.STDEV.S(O47:O51), 2)</f>
        <v>1.064 ± 0.02</v>
      </c>
      <c r="P52" s="16" t="str">
        <f>ROUND(AVERAGE(P47:P51), 3) &amp; " ± " &amp; ROUND(_xlfn.STDEV.S(P47:P51), 2)</f>
        <v>0.728 ± 0.01</v>
      </c>
      <c r="R52" s="15">
        <v>1000</v>
      </c>
      <c r="S52" s="15" t="s">
        <v>108</v>
      </c>
      <c r="T52" s="16" t="str">
        <f>ROUND(AVERAGE(T47:T51), 3) &amp; " ± " &amp; ROUND(_xlfn.STDEV.S(T47:T51), 2)</f>
        <v>0.82 ± 0.01</v>
      </c>
      <c r="U52" s="16" t="str">
        <f>ROUND(AVERAGE(U47:U51), 3) &amp; " ± " &amp; ROUND(_xlfn.STDEV.S(U47:U51), 2)</f>
        <v>1.051 ± 0.01</v>
      </c>
      <c r="V52" s="16" t="str">
        <f>ROUND(AVERAGE(V47:V51), 3) &amp; " ± " &amp; ROUND(_xlfn.STDEV.S(V47:V51), 2)</f>
        <v>0.735 ± 0.01</v>
      </c>
      <c r="X52" s="15">
        <v>1000</v>
      </c>
      <c r="Y52" s="15" t="s">
        <v>108</v>
      </c>
      <c r="Z52" s="16" t="str">
        <f>ROUND(AVERAGE(Z47:Z51), 3) &amp; " ± " &amp; ROUND(_xlfn.STDEV.S(Z47:Z51), 2)</f>
        <v>0.821 ± 0.02</v>
      </c>
      <c r="AA52" s="16" t="str">
        <f>ROUND(AVERAGE(AA47:AA51), 3) &amp; " ± " &amp; ROUND(_xlfn.STDEV.S(AA47:AA51), 2)</f>
        <v>1.043 ± 0.02</v>
      </c>
      <c r="AB52" s="16" t="str">
        <f>ROUND(AVERAGE(AB47:AB51), 3) &amp; " ± " &amp; ROUND(_xlfn.STDEV.S(AB47:AB51), 2)</f>
        <v>0.739 ± 0.01</v>
      </c>
    </row>
    <row r="53" spans="2:28" x14ac:dyDescent="0.25">
      <c r="B53" t="s">
        <v>71</v>
      </c>
    </row>
    <row r="54" spans="2:28" x14ac:dyDescent="0.25">
      <c r="B54" t="s">
        <v>72</v>
      </c>
    </row>
    <row r="56" spans="2:28" x14ac:dyDescent="0.25">
      <c r="B56" t="s">
        <v>73</v>
      </c>
    </row>
    <row r="57" spans="2:28" x14ac:dyDescent="0.25">
      <c r="B57" t="s">
        <v>74</v>
      </c>
    </row>
    <row r="58" spans="2:28" x14ac:dyDescent="0.25">
      <c r="B58" t="s">
        <v>75</v>
      </c>
    </row>
    <row r="60" spans="2:28" x14ac:dyDescent="0.25">
      <c r="B60" t="s">
        <v>76</v>
      </c>
    </row>
    <row r="61" spans="2:28" x14ac:dyDescent="0.25">
      <c r="B61" t="s">
        <v>77</v>
      </c>
    </row>
    <row r="62" spans="2:28" x14ac:dyDescent="0.25">
      <c r="B62" t="s">
        <v>78</v>
      </c>
    </row>
    <row r="64" spans="2:28" x14ac:dyDescent="0.25">
      <c r="B64" t="s">
        <v>79</v>
      </c>
    </row>
    <row r="65" spans="2:28" x14ac:dyDescent="0.25">
      <c r="B65" t="s">
        <v>80</v>
      </c>
    </row>
    <row r="66" spans="2:28" x14ac:dyDescent="0.25">
      <c r="B66" t="s">
        <v>81</v>
      </c>
    </row>
    <row r="67" spans="2:28" x14ac:dyDescent="0.25">
      <c r="L67" t="s">
        <v>109</v>
      </c>
      <c r="R67" t="s">
        <v>110</v>
      </c>
      <c r="X67" t="s">
        <v>111</v>
      </c>
    </row>
    <row r="68" spans="2:28" ht="18.75" x14ac:dyDescent="0.3">
      <c r="B68" s="20">
        <v>2000</v>
      </c>
      <c r="C68" s="20"/>
      <c r="D68" s="20"/>
      <c r="E68" s="20"/>
      <c r="F68" s="20"/>
      <c r="G68" s="20"/>
      <c r="H68" s="20"/>
      <c r="I68" s="20"/>
      <c r="J68" s="20"/>
      <c r="L68" s="12" t="s">
        <v>106</v>
      </c>
      <c r="M68" s="12" t="s">
        <v>107</v>
      </c>
      <c r="N68" s="12" t="s">
        <v>15</v>
      </c>
      <c r="O68" s="12" t="s">
        <v>17</v>
      </c>
      <c r="P68" s="12" t="s">
        <v>18</v>
      </c>
      <c r="R68" s="12" t="s">
        <v>106</v>
      </c>
      <c r="S68" s="12" t="s">
        <v>107</v>
      </c>
      <c r="T68" s="12" t="s">
        <v>15</v>
      </c>
      <c r="U68" s="12" t="s">
        <v>17</v>
      </c>
      <c r="V68" s="12" t="s">
        <v>18</v>
      </c>
      <c r="X68" s="12" t="s">
        <v>106</v>
      </c>
      <c r="Y68" s="12" t="s">
        <v>107</v>
      </c>
      <c r="Z68" s="12" t="s">
        <v>15</v>
      </c>
      <c r="AA68" s="12" t="s">
        <v>17</v>
      </c>
      <c r="AB68" s="12" t="s">
        <v>18</v>
      </c>
    </row>
    <row r="69" spans="2:28" x14ac:dyDescent="0.25">
      <c r="L69" s="13">
        <v>2000</v>
      </c>
      <c r="M69" s="13">
        <v>0</v>
      </c>
      <c r="N69" s="14">
        <v>0.8024</v>
      </c>
      <c r="O69" s="14">
        <v>1.0513999999999999</v>
      </c>
      <c r="P69" s="14">
        <v>0.7349</v>
      </c>
      <c r="R69" s="13">
        <v>2000</v>
      </c>
      <c r="S69" s="13">
        <v>0</v>
      </c>
      <c r="T69" s="14">
        <v>1.042</v>
      </c>
      <c r="U69" s="14">
        <v>1.3345</v>
      </c>
      <c r="V69" s="14">
        <v>0.57299999999999995</v>
      </c>
      <c r="X69" s="13">
        <v>2000</v>
      </c>
      <c r="Y69" s="13">
        <v>0</v>
      </c>
      <c r="Z69" s="14">
        <v>0.84730000000000005</v>
      </c>
      <c r="AA69" s="14">
        <v>1.0841000000000001</v>
      </c>
      <c r="AB69" s="14">
        <v>0.71819999999999995</v>
      </c>
    </row>
    <row r="70" spans="2:28" x14ac:dyDescent="0.25">
      <c r="B70" t="s">
        <v>82</v>
      </c>
      <c r="L70" s="13">
        <v>2000</v>
      </c>
      <c r="M70" s="13">
        <v>1</v>
      </c>
      <c r="N70" s="14">
        <v>0.78449999999999998</v>
      </c>
      <c r="O70" s="14">
        <v>1.0382</v>
      </c>
      <c r="P70" s="14">
        <v>0.74160000000000004</v>
      </c>
      <c r="R70" s="13">
        <v>2000</v>
      </c>
      <c r="S70" s="13">
        <v>1</v>
      </c>
      <c r="T70" s="14">
        <v>0.81159999999999999</v>
      </c>
      <c r="U70" s="14">
        <v>1.0658000000000001</v>
      </c>
      <c r="V70" s="14">
        <v>0.72770000000000001</v>
      </c>
      <c r="X70" s="13">
        <v>2000</v>
      </c>
      <c r="Y70" s="13">
        <v>1</v>
      </c>
      <c r="Z70" s="14">
        <v>0.79349999999999998</v>
      </c>
      <c r="AA70" s="14">
        <v>1.0072000000000001</v>
      </c>
      <c r="AB70" s="14">
        <v>0.75680000000000003</v>
      </c>
    </row>
    <row r="71" spans="2:28" x14ac:dyDescent="0.25">
      <c r="B71" t="s">
        <v>83</v>
      </c>
      <c r="L71" s="13">
        <v>2000</v>
      </c>
      <c r="M71" s="13">
        <v>2</v>
      </c>
      <c r="N71" s="14">
        <v>0.78800000000000003</v>
      </c>
      <c r="O71" s="14">
        <v>1.0215000000000001</v>
      </c>
      <c r="P71" s="14">
        <v>0.74980000000000002</v>
      </c>
      <c r="R71" s="13">
        <v>2000</v>
      </c>
      <c r="S71" s="13">
        <v>2</v>
      </c>
      <c r="T71" s="14">
        <v>0.79600000000000004</v>
      </c>
      <c r="U71" s="14">
        <v>1.0248999999999999</v>
      </c>
      <c r="V71" s="14">
        <v>0.74819999999999998</v>
      </c>
      <c r="X71" s="13">
        <v>2000</v>
      </c>
      <c r="Y71" s="13">
        <v>2</v>
      </c>
      <c r="Z71" s="14">
        <v>0.81120000000000003</v>
      </c>
      <c r="AA71" s="14">
        <v>1.0261</v>
      </c>
      <c r="AB71" s="14">
        <v>0.74760000000000004</v>
      </c>
    </row>
    <row r="72" spans="2:28" x14ac:dyDescent="0.25">
      <c r="B72" t="s">
        <v>84</v>
      </c>
      <c r="L72" s="13">
        <v>2000</v>
      </c>
      <c r="M72" s="13">
        <v>3</v>
      </c>
      <c r="N72" s="14">
        <v>0.78779999999999994</v>
      </c>
      <c r="O72" s="14">
        <v>1.0454000000000001</v>
      </c>
      <c r="P72" s="14">
        <v>0.73799999999999999</v>
      </c>
      <c r="R72" s="13">
        <v>2000</v>
      </c>
      <c r="S72" s="13">
        <v>3</v>
      </c>
      <c r="T72" s="14">
        <v>0.78239999999999998</v>
      </c>
      <c r="U72" s="14">
        <v>1.0181</v>
      </c>
      <c r="V72" s="14">
        <v>0.75149999999999995</v>
      </c>
      <c r="X72" s="13">
        <v>2000</v>
      </c>
      <c r="Y72" s="13">
        <v>3</v>
      </c>
      <c r="Z72" s="14">
        <v>0.77439999999999998</v>
      </c>
      <c r="AA72" s="14">
        <v>0.99880000000000002</v>
      </c>
      <c r="AB72" s="14">
        <v>0.76080000000000003</v>
      </c>
    </row>
    <row r="73" spans="2:28" x14ac:dyDescent="0.25">
      <c r="L73" s="13">
        <v>2000</v>
      </c>
      <c r="M73" s="13">
        <v>4</v>
      </c>
      <c r="N73" s="14">
        <v>0.80969999999999998</v>
      </c>
      <c r="O73" s="14">
        <v>1.0755999999999999</v>
      </c>
      <c r="P73" s="14">
        <v>0.72260000000000002</v>
      </c>
      <c r="R73" s="13">
        <v>2000</v>
      </c>
      <c r="S73" s="13">
        <v>4</v>
      </c>
      <c r="T73" s="14">
        <v>0.81510000000000005</v>
      </c>
      <c r="U73" s="14">
        <v>1.0544</v>
      </c>
      <c r="V73" s="14">
        <v>0.73340000000000005</v>
      </c>
      <c r="X73" s="13">
        <v>2000</v>
      </c>
      <c r="Y73" s="13">
        <v>4</v>
      </c>
      <c r="Z73" s="14">
        <v>0.81320000000000003</v>
      </c>
      <c r="AA73" s="14">
        <v>1.0417000000000001</v>
      </c>
      <c r="AB73" s="14">
        <v>0.73980000000000001</v>
      </c>
    </row>
    <row r="74" spans="2:28" x14ac:dyDescent="0.25">
      <c r="B74" t="s">
        <v>85</v>
      </c>
      <c r="L74" s="15">
        <v>2000</v>
      </c>
      <c r="M74" s="15" t="s">
        <v>108</v>
      </c>
      <c r="N74" s="16" t="str">
        <f>ROUND(AVERAGE(N69:N73), 3) &amp; " ± " &amp; ROUND(_xlfn.STDEV.S(N69:N73), 2)</f>
        <v>0.794 ± 0.01</v>
      </c>
      <c r="O74" s="16" t="str">
        <f>ROUND(AVERAGE(O69:O73), 3) &amp; " ± " &amp; ROUND(_xlfn.STDEV.S(O69:O73), 2)</f>
        <v>1.046 ± 0.02</v>
      </c>
      <c r="P74" s="16" t="str">
        <f>ROUND(AVERAGE(P69:P73), 3) &amp; " ± " &amp; ROUND(_xlfn.STDEV.S(P69:P73), 2)</f>
        <v>0.737 ± 0.01</v>
      </c>
      <c r="R74" s="15">
        <v>2000</v>
      </c>
      <c r="S74" s="15" t="s">
        <v>108</v>
      </c>
      <c r="T74" s="16" t="str">
        <f>ROUND(AVERAGE(T69:T73), 3) &amp; " ± " &amp; ROUND(_xlfn.STDEV.S(T69:T73), 2)</f>
        <v>0.849 ± 0.11</v>
      </c>
      <c r="U74" s="16" t="str">
        <f>ROUND(AVERAGE(U69:U73), 3) &amp; " ± " &amp; ROUND(_xlfn.STDEV.S(U69:U73), 2)</f>
        <v>1.1 ± 0.13</v>
      </c>
      <c r="V74" s="16" t="str">
        <f>ROUND(AVERAGE(V69:V73), 3) &amp; " ± " &amp; ROUND(_xlfn.STDEV.S(V69:V73), 2)</f>
        <v>0.707 ± 0.08</v>
      </c>
      <c r="X74" s="15">
        <v>2000</v>
      </c>
      <c r="Y74" s="15" t="s">
        <v>108</v>
      </c>
      <c r="Z74" s="16" t="str">
        <f>ROUND(AVERAGE(Z69:Z73), 3) &amp; " ± " &amp; ROUND(_xlfn.STDEV.S(Z69:Z73), 2)</f>
        <v>0.808 ± 0.03</v>
      </c>
      <c r="AA74" s="16" t="str">
        <f>ROUND(AVERAGE(AA69:AA73), 3) &amp; " ± " &amp; ROUND(_xlfn.STDEV.S(AA69:AA73), 2)</f>
        <v>1.032 ± 0.03</v>
      </c>
      <c r="AB74" s="16" t="str">
        <f>ROUND(AVERAGE(AB69:AB73), 3) &amp; " ± " &amp; ROUND(_xlfn.STDEV.S(AB69:AB73), 2)</f>
        <v>0.745 ± 0.02</v>
      </c>
    </row>
    <row r="75" spans="2:28" x14ac:dyDescent="0.25">
      <c r="B75" t="s">
        <v>86</v>
      </c>
    </row>
    <row r="76" spans="2:28" x14ac:dyDescent="0.25">
      <c r="B76" t="s">
        <v>87</v>
      </c>
    </row>
    <row r="78" spans="2:28" x14ac:dyDescent="0.25">
      <c r="B78" t="s">
        <v>88</v>
      </c>
    </row>
    <row r="79" spans="2:28" x14ac:dyDescent="0.25">
      <c r="B79" t="s">
        <v>89</v>
      </c>
    </row>
    <row r="80" spans="2:28" x14ac:dyDescent="0.25">
      <c r="B80" t="s">
        <v>90</v>
      </c>
    </row>
    <row r="82" spans="2:28" x14ac:dyDescent="0.25">
      <c r="B82" t="s">
        <v>91</v>
      </c>
    </row>
    <row r="83" spans="2:28" x14ac:dyDescent="0.25">
      <c r="B83" t="s">
        <v>92</v>
      </c>
    </row>
    <row r="84" spans="2:28" x14ac:dyDescent="0.25">
      <c r="B84" t="s">
        <v>93</v>
      </c>
    </row>
    <row r="86" spans="2:28" x14ac:dyDescent="0.25">
      <c r="B86" t="s">
        <v>94</v>
      </c>
    </row>
    <row r="87" spans="2:28" x14ac:dyDescent="0.25">
      <c r="B87" t="s">
        <v>95</v>
      </c>
    </row>
    <row r="88" spans="2:28" x14ac:dyDescent="0.25">
      <c r="B88" t="s">
        <v>96</v>
      </c>
    </row>
    <row r="91" spans="2:28" x14ac:dyDescent="0.25">
      <c r="L91" t="s">
        <v>109</v>
      </c>
      <c r="R91" t="s">
        <v>110</v>
      </c>
      <c r="X91" t="s">
        <v>111</v>
      </c>
    </row>
    <row r="92" spans="2:28" ht="18.75" x14ac:dyDescent="0.3">
      <c r="B92" s="20">
        <v>5000</v>
      </c>
      <c r="C92" s="20"/>
      <c r="D92" s="20"/>
      <c r="E92" s="20"/>
      <c r="F92" s="20"/>
      <c r="G92" s="20"/>
      <c r="H92" s="20"/>
      <c r="I92" s="20"/>
      <c r="J92" s="20"/>
      <c r="L92" s="12" t="s">
        <v>106</v>
      </c>
      <c r="M92" s="12" t="s">
        <v>107</v>
      </c>
      <c r="N92" s="12" t="s">
        <v>15</v>
      </c>
      <c r="O92" s="12" t="s">
        <v>17</v>
      </c>
      <c r="P92" s="12" t="s">
        <v>18</v>
      </c>
      <c r="R92" s="12" t="s">
        <v>106</v>
      </c>
      <c r="S92" s="12" t="s">
        <v>107</v>
      </c>
      <c r="T92" s="12" t="s">
        <v>15</v>
      </c>
      <c r="U92" s="12" t="s">
        <v>17</v>
      </c>
      <c r="V92" s="12" t="s">
        <v>18</v>
      </c>
      <c r="X92" s="12" t="s">
        <v>106</v>
      </c>
      <c r="Y92" s="12" t="s">
        <v>107</v>
      </c>
      <c r="Z92" s="12" t="s">
        <v>15</v>
      </c>
      <c r="AA92" s="12" t="s">
        <v>17</v>
      </c>
      <c r="AB92" s="12" t="s">
        <v>18</v>
      </c>
    </row>
    <row r="93" spans="2:28" x14ac:dyDescent="0.25">
      <c r="L93" s="13">
        <v>5000</v>
      </c>
      <c r="M93" s="13">
        <v>0</v>
      </c>
      <c r="N93" s="14">
        <v>0.73399999999999999</v>
      </c>
      <c r="O93" s="14">
        <v>1.0071000000000001</v>
      </c>
      <c r="P93" s="14">
        <v>0.75680000000000003</v>
      </c>
      <c r="R93" s="13">
        <v>5000</v>
      </c>
      <c r="S93" s="13">
        <v>0</v>
      </c>
      <c r="T93" s="14">
        <v>0.77869999999999995</v>
      </c>
      <c r="U93" s="14">
        <v>1.0109999999999999</v>
      </c>
      <c r="V93" s="14">
        <v>0.75490000000000002</v>
      </c>
      <c r="X93" s="13">
        <v>5000</v>
      </c>
      <c r="Y93" s="13">
        <v>0</v>
      </c>
      <c r="Z93" s="14">
        <v>0.7702</v>
      </c>
      <c r="AA93" s="14">
        <v>0.98160000000000003</v>
      </c>
      <c r="AB93" s="14">
        <v>0.76900000000000002</v>
      </c>
    </row>
    <row r="94" spans="2:28" x14ac:dyDescent="0.25">
      <c r="B94" t="s">
        <v>97</v>
      </c>
      <c r="L94" s="13">
        <v>5000</v>
      </c>
      <c r="M94" s="13">
        <v>1</v>
      </c>
      <c r="N94" s="14">
        <v>0.73899999999999999</v>
      </c>
      <c r="O94" s="14">
        <v>0.97130000000000005</v>
      </c>
      <c r="P94" s="14">
        <v>0.77380000000000004</v>
      </c>
      <c r="R94" s="13">
        <v>5000</v>
      </c>
      <c r="S94" s="13">
        <v>1</v>
      </c>
      <c r="T94" s="14">
        <v>0.74690000000000001</v>
      </c>
      <c r="U94" s="14">
        <v>0.98070000000000002</v>
      </c>
      <c r="V94" s="14">
        <v>0.76939999999999997</v>
      </c>
      <c r="X94" s="13">
        <v>5000</v>
      </c>
      <c r="Y94" s="13">
        <v>1</v>
      </c>
      <c r="Z94" s="14">
        <v>0.77969999999999995</v>
      </c>
      <c r="AA94" s="14">
        <v>1.0038</v>
      </c>
      <c r="AB94" s="14">
        <v>0.75839999999999996</v>
      </c>
    </row>
    <row r="95" spans="2:28" x14ac:dyDescent="0.25">
      <c r="B95" t="s">
        <v>98</v>
      </c>
      <c r="L95" s="13">
        <v>5000</v>
      </c>
      <c r="M95" s="13">
        <v>2</v>
      </c>
      <c r="N95" s="14">
        <v>0.72360000000000002</v>
      </c>
      <c r="O95" s="14">
        <v>0.93920000000000003</v>
      </c>
      <c r="P95" s="14">
        <v>0.78849999999999998</v>
      </c>
      <c r="R95" s="13">
        <v>5000</v>
      </c>
      <c r="S95" s="13">
        <v>2</v>
      </c>
      <c r="T95" s="14">
        <v>0.75149999999999995</v>
      </c>
      <c r="U95" s="14">
        <v>0.97240000000000004</v>
      </c>
      <c r="V95" s="14">
        <v>0.77329999999999999</v>
      </c>
      <c r="X95" s="13">
        <v>5000</v>
      </c>
      <c r="Y95" s="13">
        <v>2</v>
      </c>
      <c r="Z95" s="14">
        <v>0.76780000000000004</v>
      </c>
      <c r="AA95" s="14">
        <v>0.98009999999999997</v>
      </c>
      <c r="AB95" s="14">
        <v>0.76970000000000005</v>
      </c>
    </row>
    <row r="96" spans="2:28" x14ac:dyDescent="0.25">
      <c r="B96" t="s">
        <v>99</v>
      </c>
      <c r="L96" s="15">
        <v>5000</v>
      </c>
      <c r="M96" s="15" t="s">
        <v>108</v>
      </c>
      <c r="N96" s="16" t="str">
        <f>ROUND(AVERAGE(N91:N95), 3) &amp; " ± " &amp; ROUND(_xlfn.STDEV.S(N91:N95), 2)</f>
        <v>0.732 ± 0.01</v>
      </c>
      <c r="O96" s="16" t="str">
        <f>ROUND(AVERAGE(O91:O95), 3) &amp; " ± " &amp; ROUND(_xlfn.STDEV.S(O91:O95), 2)</f>
        <v>0.973 ± 0.03</v>
      </c>
      <c r="P96" s="16" t="str">
        <f>ROUND(AVERAGE(P91:P95), 3) &amp; " ± " &amp; ROUND(_xlfn.STDEV.S(P91:P95), 2)</f>
        <v>0.773 ± 0.02</v>
      </c>
      <c r="R96" s="15">
        <v>5000</v>
      </c>
      <c r="S96" s="15" t="s">
        <v>108</v>
      </c>
      <c r="T96" s="16" t="str">
        <f>ROUND(AVERAGE(T91:T95), 3) &amp; " ± " &amp; ROUND(_xlfn.STDEV.S(T91:T95), 2)</f>
        <v>0.759 ± 0.02</v>
      </c>
      <c r="U96" s="16" t="str">
        <f>ROUND(AVERAGE(U91:U95), 3) &amp; " ± " &amp; ROUND(_xlfn.STDEV.S(U91:U95), 2)</f>
        <v>0.988 ± 0.02</v>
      </c>
      <c r="V96" s="16" t="str">
        <f>ROUND(AVERAGE(V91:V95), 3) &amp; " ± " &amp; ROUND(_xlfn.STDEV.S(V91:V95), 2)</f>
        <v>0.766 ± 0.01</v>
      </c>
      <c r="X96" s="15">
        <v>5000</v>
      </c>
      <c r="Y96" s="15" t="s">
        <v>108</v>
      </c>
      <c r="Z96" s="16" t="str">
        <f>ROUND(AVERAGE(Z91:Z95), 3) &amp; " ± " &amp; ROUND(_xlfn.STDEV.S(Z91:Z95), 2)</f>
        <v>0.773 ± 0.01</v>
      </c>
      <c r="AA96" s="16" t="str">
        <f>ROUND(AVERAGE(AA91:AA95), 3) &amp; " ± " &amp; ROUND(_xlfn.STDEV.S(AA91:AA95), 2)</f>
        <v>0.989 ± 0.01</v>
      </c>
      <c r="AB96" s="16" t="str">
        <f>ROUND(AVERAGE(AB91:AB95), 3) &amp; " ± " &amp; ROUND(_xlfn.STDEV.S(AB91:AB95), 2)</f>
        <v>0.766 ± 0.01</v>
      </c>
    </row>
    <row r="98" spans="2:2" x14ac:dyDescent="0.25">
      <c r="B98" t="s">
        <v>100</v>
      </c>
    </row>
    <row r="99" spans="2:2" x14ac:dyDescent="0.25">
      <c r="B99" t="s">
        <v>101</v>
      </c>
    </row>
    <row r="100" spans="2:2" x14ac:dyDescent="0.25">
      <c r="B100" t="s">
        <v>102</v>
      </c>
    </row>
    <row r="102" spans="2:2" x14ac:dyDescent="0.25">
      <c r="B102" t="s">
        <v>103</v>
      </c>
    </row>
    <row r="103" spans="2:2" x14ac:dyDescent="0.25">
      <c r="B103" t="s">
        <v>104</v>
      </c>
    </row>
    <row r="104" spans="2:2" x14ac:dyDescent="0.25">
      <c r="B104" t="s">
        <v>105</v>
      </c>
    </row>
  </sheetData>
  <mergeCells count="5">
    <mergeCell ref="B1:J1"/>
    <mergeCell ref="B24:K24"/>
    <mergeCell ref="B46:J46"/>
    <mergeCell ref="B68:J68"/>
    <mergeCell ref="B92:J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GEO+ATOM</vt:lpstr>
      <vt:lpstr>GVFA+edge</vt:lpstr>
      <vt:lpstr>Sheet2</vt:lpstr>
      <vt:lpstr>Teufel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 MADHUSANKA VIDANA KANKANAMGE</dc:creator>
  <cp:lastModifiedBy>NUWAN MADHUSANKA VIDANA KANKANAMGE</cp:lastModifiedBy>
  <dcterms:created xsi:type="dcterms:W3CDTF">2015-06-05T18:17:20Z</dcterms:created>
  <dcterms:modified xsi:type="dcterms:W3CDTF">2026-07-08T10:15:42Z</dcterms:modified>
</cp:coreProperties>
</file>